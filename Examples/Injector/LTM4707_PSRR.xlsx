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alog-my.sharepoint.com/personal/bob_reay_analog_com/Documents/ADI/Projects/LTPowerAnalyzerPython/Examples/Injector/"/>
    </mc:Choice>
  </mc:AlternateContent>
  <xr:revisionPtr revIDLastSave="112" documentId="8_{26AAA8A5-5B70-4353-96D9-55C3D65B783E}" xr6:coauthVersionLast="47" xr6:coauthVersionMax="47" xr10:uidLastSave="{05EA14F2-4074-49BC-87A3-1C46CD6FFB16}"/>
  <bookViews>
    <workbookView xWindow="7380" yWindow="1095" windowWidth="27015" windowHeight="13605" xr2:uid="{BC3BAC91-E582-4AD0-9587-2D2AADB000DE}"/>
  </bookViews>
  <sheets>
    <sheet name="PSRR_result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</calcChain>
</file>

<file path=xl/sharedStrings.xml><?xml version="1.0" encoding="utf-8"?>
<sst xmlns="http://schemas.openxmlformats.org/spreadsheetml/2006/main" count="16" uniqueCount="16">
  <si>
    <t>Frequency (Hz)</t>
  </si>
  <si>
    <t>Input FFT (dBV)</t>
  </si>
  <si>
    <t>Output FFT (dBV)</t>
  </si>
  <si>
    <t>LNA Gain (dB)</t>
  </si>
  <si>
    <t>PSRR (dB)</t>
  </si>
  <si>
    <t>#</t>
  </si>
  <si>
    <t>Frequency</t>
  </si>
  <si>
    <t>Phase (deg)</t>
  </si>
  <si>
    <t>Vin (V pk-pk)</t>
  </si>
  <si>
    <t>Vout  (V pk-pk)</t>
  </si>
  <si>
    <t>frequency</t>
  </si>
  <si>
    <t>FFTIN</t>
  </si>
  <si>
    <t>FFTOut</t>
  </si>
  <si>
    <t>LNA Gain</t>
  </si>
  <si>
    <t>PSRR</t>
  </si>
  <si>
    <t>MD304MSO PSRR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</si>
</sst>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LTPowerAnalyzer vs HD304MSO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3"/>
          <c:tx>
            <c:strRef>
              <c:f>PSRR_results!$E$1</c:f>
              <c:strCache>
                <c:ptCount val="1"/>
                <c:pt idx="0">
                  <c:v>MD304MSO PSRR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PSRR_results!$A$2:$A$47</c:f>
              <c:numCache>
                <c:formatCode>General</c:formatCode>
                <c:ptCount val="4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  <c:pt idx="28">
                  <c:v>20000</c:v>
                </c:pt>
                <c:pt idx="29">
                  <c:v>30000</c:v>
                </c:pt>
                <c:pt idx="30">
                  <c:v>40000</c:v>
                </c:pt>
                <c:pt idx="31">
                  <c:v>50000</c:v>
                </c:pt>
                <c:pt idx="32">
                  <c:v>60000</c:v>
                </c:pt>
                <c:pt idx="33">
                  <c:v>70000</c:v>
                </c:pt>
                <c:pt idx="34">
                  <c:v>80000</c:v>
                </c:pt>
                <c:pt idx="35">
                  <c:v>90000</c:v>
                </c:pt>
                <c:pt idx="36">
                  <c:v>100000</c:v>
                </c:pt>
                <c:pt idx="37">
                  <c:v>200000</c:v>
                </c:pt>
                <c:pt idx="38">
                  <c:v>300000</c:v>
                </c:pt>
                <c:pt idx="39">
                  <c:v>400000</c:v>
                </c:pt>
                <c:pt idx="40">
                  <c:v>500000</c:v>
                </c:pt>
                <c:pt idx="41">
                  <c:v>600000</c:v>
                </c:pt>
                <c:pt idx="42">
                  <c:v>700000</c:v>
                </c:pt>
                <c:pt idx="43">
                  <c:v>800000</c:v>
                </c:pt>
                <c:pt idx="44">
                  <c:v>900000</c:v>
                </c:pt>
                <c:pt idx="45">
                  <c:v>1000000</c:v>
                </c:pt>
              </c:numCache>
            </c:numRef>
          </c:xVal>
          <c:yVal>
            <c:numRef>
              <c:f>PSRR_results!$E$2:$E$47</c:f>
              <c:numCache>
                <c:formatCode>General</c:formatCode>
                <c:ptCount val="46"/>
                <c:pt idx="0">
                  <c:v>82.78</c:v>
                </c:pt>
                <c:pt idx="1">
                  <c:v>86.12</c:v>
                </c:pt>
                <c:pt idx="2">
                  <c:v>88.94</c:v>
                </c:pt>
                <c:pt idx="3">
                  <c:v>90.58</c:v>
                </c:pt>
                <c:pt idx="4">
                  <c:v>92.53</c:v>
                </c:pt>
                <c:pt idx="5">
                  <c:v>93.11</c:v>
                </c:pt>
                <c:pt idx="6">
                  <c:v>94.6</c:v>
                </c:pt>
                <c:pt idx="7">
                  <c:v>95.24</c:v>
                </c:pt>
                <c:pt idx="8">
                  <c:v>95.29</c:v>
                </c:pt>
                <c:pt idx="9">
                  <c:v>95.93</c:v>
                </c:pt>
                <c:pt idx="10">
                  <c:v>94.65</c:v>
                </c:pt>
                <c:pt idx="11">
                  <c:v>92.3</c:v>
                </c:pt>
                <c:pt idx="12">
                  <c:v>90.41</c:v>
                </c:pt>
                <c:pt idx="13">
                  <c:v>88.77</c:v>
                </c:pt>
                <c:pt idx="14">
                  <c:v>87.47</c:v>
                </c:pt>
                <c:pt idx="15">
                  <c:v>86.16</c:v>
                </c:pt>
                <c:pt idx="16">
                  <c:v>85.03</c:v>
                </c:pt>
                <c:pt idx="17">
                  <c:v>84.08</c:v>
                </c:pt>
                <c:pt idx="18">
                  <c:v>83.2</c:v>
                </c:pt>
                <c:pt idx="19">
                  <c:v>77.48</c:v>
                </c:pt>
                <c:pt idx="20">
                  <c:v>74.06</c:v>
                </c:pt>
                <c:pt idx="21">
                  <c:v>72.010000000000005</c:v>
                </c:pt>
                <c:pt idx="22">
                  <c:v>70.400000000000006</c:v>
                </c:pt>
                <c:pt idx="23">
                  <c:v>69.290000000000006</c:v>
                </c:pt>
                <c:pt idx="24">
                  <c:v>68.28</c:v>
                </c:pt>
                <c:pt idx="25">
                  <c:v>67.59</c:v>
                </c:pt>
                <c:pt idx="26">
                  <c:v>66.94</c:v>
                </c:pt>
                <c:pt idx="27">
                  <c:v>66.540000000000006</c:v>
                </c:pt>
                <c:pt idx="28">
                  <c:v>64.72</c:v>
                </c:pt>
                <c:pt idx="29">
                  <c:v>64.64</c:v>
                </c:pt>
                <c:pt idx="30">
                  <c:v>64.56</c:v>
                </c:pt>
                <c:pt idx="31">
                  <c:v>64.92</c:v>
                </c:pt>
                <c:pt idx="32">
                  <c:v>65.239999999999995</c:v>
                </c:pt>
                <c:pt idx="33">
                  <c:v>66.569999999999993</c:v>
                </c:pt>
                <c:pt idx="34">
                  <c:v>66.17</c:v>
                </c:pt>
                <c:pt idx="35">
                  <c:v>67.5</c:v>
                </c:pt>
                <c:pt idx="36">
                  <c:v>68.59</c:v>
                </c:pt>
                <c:pt idx="37">
                  <c:v>76.010000000000005</c:v>
                </c:pt>
                <c:pt idx="38">
                  <c:v>68.69</c:v>
                </c:pt>
                <c:pt idx="39">
                  <c:v>60.85</c:v>
                </c:pt>
                <c:pt idx="40">
                  <c:v>57.39</c:v>
                </c:pt>
                <c:pt idx="41">
                  <c:v>54.46</c:v>
                </c:pt>
                <c:pt idx="42">
                  <c:v>49.51</c:v>
                </c:pt>
                <c:pt idx="43">
                  <c:v>44</c:v>
                </c:pt>
                <c:pt idx="44">
                  <c:v>40.770000000000003</c:v>
                </c:pt>
                <c:pt idx="45">
                  <c:v>39.19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36-4CAA-BB00-995147B62760}"/>
            </c:ext>
          </c:extLst>
        </c:ser>
        <c:ser>
          <c:idx val="4"/>
          <c:order val="4"/>
          <c:tx>
            <c:v>LTPowerAnalyzer PSRR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PSRR_results!$H$2:$H$102</c:f>
              <c:numCache>
                <c:formatCode>0.00E+00</c:formatCode>
                <c:ptCount val="101"/>
                <c:pt idx="0">
                  <c:v>10.6432</c:v>
                </c:pt>
                <c:pt idx="1">
                  <c:v>11.100899999999999</c:v>
                </c:pt>
                <c:pt idx="2">
                  <c:v>12.588699999999999</c:v>
                </c:pt>
                <c:pt idx="3">
                  <c:v>14.0764</c:v>
                </c:pt>
                <c:pt idx="4">
                  <c:v>16.021999999999998</c:v>
                </c:pt>
                <c:pt idx="5">
                  <c:v>17.967500000000001</c:v>
                </c:pt>
                <c:pt idx="6">
                  <c:v>19.7986</c:v>
                </c:pt>
                <c:pt idx="7">
                  <c:v>22.545200000000001</c:v>
                </c:pt>
                <c:pt idx="8">
                  <c:v>25.177399999999999</c:v>
                </c:pt>
                <c:pt idx="9">
                  <c:v>28.267299999999999</c:v>
                </c:pt>
                <c:pt idx="10">
                  <c:v>32.043900000000001</c:v>
                </c:pt>
                <c:pt idx="11">
                  <c:v>35.477200000000003</c:v>
                </c:pt>
                <c:pt idx="12">
                  <c:v>40.054900000000004</c:v>
                </c:pt>
                <c:pt idx="13">
                  <c:v>44.632599999999996</c:v>
                </c:pt>
                <c:pt idx="14">
                  <c:v>50.354799999999997</c:v>
                </c:pt>
                <c:pt idx="15">
                  <c:v>56.076900000000002</c:v>
                </c:pt>
                <c:pt idx="16">
                  <c:v>62.9435</c:v>
                </c:pt>
                <c:pt idx="17">
                  <c:v>70.954499999999996</c:v>
                </c:pt>
                <c:pt idx="18">
                  <c:v>78.965400000000002</c:v>
                </c:pt>
                <c:pt idx="19">
                  <c:v>89.265299999999996</c:v>
                </c:pt>
                <c:pt idx="20">
                  <c:v>99.565100000000001</c:v>
                </c:pt>
                <c:pt idx="21">
                  <c:v>112.154</c:v>
                </c:pt>
                <c:pt idx="22">
                  <c:v>125.887</c:v>
                </c:pt>
                <c:pt idx="23">
                  <c:v>140.76400000000001</c:v>
                </c:pt>
                <c:pt idx="24">
                  <c:v>157.93100000000001</c:v>
                </c:pt>
                <c:pt idx="25">
                  <c:v>177.386</c:v>
                </c:pt>
                <c:pt idx="26">
                  <c:v>199.13</c:v>
                </c:pt>
                <c:pt idx="27">
                  <c:v>224.30799999999999</c:v>
                </c:pt>
                <c:pt idx="28">
                  <c:v>250.62899999999999</c:v>
                </c:pt>
                <c:pt idx="29">
                  <c:v>281.529</c:v>
                </c:pt>
                <c:pt idx="30">
                  <c:v>320.43900000000002</c:v>
                </c:pt>
                <c:pt idx="31">
                  <c:v>354.77199999999999</c:v>
                </c:pt>
                <c:pt idx="32">
                  <c:v>400.54899999999998</c:v>
                </c:pt>
                <c:pt idx="33">
                  <c:v>446.32600000000002</c:v>
                </c:pt>
                <c:pt idx="34">
                  <c:v>503.548</c:v>
                </c:pt>
                <c:pt idx="35">
                  <c:v>560.76900000000001</c:v>
                </c:pt>
                <c:pt idx="36">
                  <c:v>629.43499999999995</c:v>
                </c:pt>
                <c:pt idx="37">
                  <c:v>709.54499999999996</c:v>
                </c:pt>
                <c:pt idx="38">
                  <c:v>789.654</c:v>
                </c:pt>
                <c:pt idx="39">
                  <c:v>892.65300000000002</c:v>
                </c:pt>
                <c:pt idx="40">
                  <c:v>995.65099999999995</c:v>
                </c:pt>
                <c:pt idx="41">
                  <c:v>1121.54</c:v>
                </c:pt>
                <c:pt idx="42">
                  <c:v>1258.8699999999999</c:v>
                </c:pt>
                <c:pt idx="43">
                  <c:v>1407.64</c:v>
                </c:pt>
                <c:pt idx="44">
                  <c:v>1579.31</c:v>
                </c:pt>
                <c:pt idx="45">
                  <c:v>1773.86</c:v>
                </c:pt>
                <c:pt idx="46">
                  <c:v>1991.3</c:v>
                </c:pt>
                <c:pt idx="47">
                  <c:v>2243.08</c:v>
                </c:pt>
                <c:pt idx="48">
                  <c:v>2506.29</c:v>
                </c:pt>
                <c:pt idx="49">
                  <c:v>2815.29</c:v>
                </c:pt>
                <c:pt idx="50">
                  <c:v>3204.39</c:v>
                </c:pt>
                <c:pt idx="51">
                  <c:v>3547.72</c:v>
                </c:pt>
                <c:pt idx="52">
                  <c:v>4005.49</c:v>
                </c:pt>
                <c:pt idx="53">
                  <c:v>4463.26</c:v>
                </c:pt>
                <c:pt idx="54">
                  <c:v>5035.4799999999996</c:v>
                </c:pt>
                <c:pt idx="55">
                  <c:v>5607.69</c:v>
                </c:pt>
                <c:pt idx="56">
                  <c:v>6294.35</c:v>
                </c:pt>
                <c:pt idx="57">
                  <c:v>7095.45</c:v>
                </c:pt>
                <c:pt idx="58">
                  <c:v>7896.54</c:v>
                </c:pt>
                <c:pt idx="59">
                  <c:v>8926.5300000000007</c:v>
                </c:pt>
                <c:pt idx="60">
                  <c:v>9956.51</c:v>
                </c:pt>
                <c:pt idx="61">
                  <c:v>11215.4</c:v>
                </c:pt>
                <c:pt idx="62">
                  <c:v>12588.7</c:v>
                </c:pt>
                <c:pt idx="63">
                  <c:v>14076.4</c:v>
                </c:pt>
                <c:pt idx="64">
                  <c:v>15793.1</c:v>
                </c:pt>
                <c:pt idx="65">
                  <c:v>17738.599999999999</c:v>
                </c:pt>
                <c:pt idx="66">
                  <c:v>19913</c:v>
                </c:pt>
                <c:pt idx="67">
                  <c:v>22430.799999999999</c:v>
                </c:pt>
                <c:pt idx="68">
                  <c:v>25062.9</c:v>
                </c:pt>
                <c:pt idx="69">
                  <c:v>28152.9</c:v>
                </c:pt>
                <c:pt idx="70">
                  <c:v>32043.9</c:v>
                </c:pt>
                <c:pt idx="71">
                  <c:v>35477.199999999997</c:v>
                </c:pt>
                <c:pt idx="72">
                  <c:v>40054.9</c:v>
                </c:pt>
                <c:pt idx="73">
                  <c:v>44632.6</c:v>
                </c:pt>
                <c:pt idx="74">
                  <c:v>50354.8</c:v>
                </c:pt>
                <c:pt idx="75">
                  <c:v>56076.9</c:v>
                </c:pt>
                <c:pt idx="76">
                  <c:v>62943.5</c:v>
                </c:pt>
                <c:pt idx="77">
                  <c:v>70954.5</c:v>
                </c:pt>
                <c:pt idx="78">
                  <c:v>78965.399999999994</c:v>
                </c:pt>
                <c:pt idx="79">
                  <c:v>89265.3</c:v>
                </c:pt>
                <c:pt idx="80">
                  <c:v>99565.1</c:v>
                </c:pt>
                <c:pt idx="81">
                  <c:v>112154</c:v>
                </c:pt>
                <c:pt idx="82">
                  <c:v>125887</c:v>
                </c:pt>
                <c:pt idx="83">
                  <c:v>140764</c:v>
                </c:pt>
                <c:pt idx="84">
                  <c:v>157931</c:v>
                </c:pt>
                <c:pt idx="85">
                  <c:v>177386</c:v>
                </c:pt>
                <c:pt idx="86">
                  <c:v>199130</c:v>
                </c:pt>
                <c:pt idx="87">
                  <c:v>224308</c:v>
                </c:pt>
                <c:pt idx="88">
                  <c:v>250629</c:v>
                </c:pt>
                <c:pt idx="89">
                  <c:v>281529</c:v>
                </c:pt>
                <c:pt idx="90">
                  <c:v>315862</c:v>
                </c:pt>
                <c:pt idx="91">
                  <c:v>354772</c:v>
                </c:pt>
                <c:pt idx="92">
                  <c:v>398260</c:v>
                </c:pt>
                <c:pt idx="93">
                  <c:v>446326</c:v>
                </c:pt>
                <c:pt idx="94">
                  <c:v>501259</c:v>
                </c:pt>
                <c:pt idx="95">
                  <c:v>561913</c:v>
                </c:pt>
                <c:pt idx="96">
                  <c:v>630579</c:v>
                </c:pt>
                <c:pt idx="97">
                  <c:v>708400</c:v>
                </c:pt>
                <c:pt idx="98">
                  <c:v>794232</c:v>
                </c:pt>
                <c:pt idx="99">
                  <c:v>891508</c:v>
                </c:pt>
                <c:pt idx="100">
                  <c:v>1011670</c:v>
                </c:pt>
              </c:numCache>
            </c:numRef>
          </c:xVal>
          <c:yVal>
            <c:numRef>
              <c:f>PSRR_results!$I$2:$I$102</c:f>
              <c:numCache>
                <c:formatCode>0.00E+00</c:formatCode>
                <c:ptCount val="101"/>
                <c:pt idx="0">
                  <c:v>83.09</c:v>
                </c:pt>
                <c:pt idx="1">
                  <c:v>83.47</c:v>
                </c:pt>
                <c:pt idx="2">
                  <c:v>84.04</c:v>
                </c:pt>
                <c:pt idx="3">
                  <c:v>84.65</c:v>
                </c:pt>
                <c:pt idx="4">
                  <c:v>84.9</c:v>
                </c:pt>
                <c:pt idx="5">
                  <c:v>85.9</c:v>
                </c:pt>
                <c:pt idx="6">
                  <c:v>86.36</c:v>
                </c:pt>
                <c:pt idx="7">
                  <c:v>87.25</c:v>
                </c:pt>
                <c:pt idx="8">
                  <c:v>88.17</c:v>
                </c:pt>
                <c:pt idx="9">
                  <c:v>88.62</c:v>
                </c:pt>
                <c:pt idx="10">
                  <c:v>89.3</c:v>
                </c:pt>
                <c:pt idx="11">
                  <c:v>90.26</c:v>
                </c:pt>
                <c:pt idx="12">
                  <c:v>91.27</c:v>
                </c:pt>
                <c:pt idx="13">
                  <c:v>92.2</c:v>
                </c:pt>
                <c:pt idx="14">
                  <c:v>92.4</c:v>
                </c:pt>
                <c:pt idx="15">
                  <c:v>92.98</c:v>
                </c:pt>
                <c:pt idx="16">
                  <c:v>93.24</c:v>
                </c:pt>
                <c:pt idx="17">
                  <c:v>94.02</c:v>
                </c:pt>
                <c:pt idx="18">
                  <c:v>94.52</c:v>
                </c:pt>
                <c:pt idx="19">
                  <c:v>95.54</c:v>
                </c:pt>
                <c:pt idx="20">
                  <c:v>95.38</c:v>
                </c:pt>
                <c:pt idx="21">
                  <c:v>95.92</c:v>
                </c:pt>
                <c:pt idx="22">
                  <c:v>96.09</c:v>
                </c:pt>
                <c:pt idx="23">
                  <c:v>96.27</c:v>
                </c:pt>
                <c:pt idx="24">
                  <c:v>95.44</c:v>
                </c:pt>
                <c:pt idx="25">
                  <c:v>95.33</c:v>
                </c:pt>
                <c:pt idx="26">
                  <c:v>94.6</c:v>
                </c:pt>
                <c:pt idx="27">
                  <c:v>93.79</c:v>
                </c:pt>
                <c:pt idx="28">
                  <c:v>93.41</c:v>
                </c:pt>
                <c:pt idx="29">
                  <c:v>93.03</c:v>
                </c:pt>
                <c:pt idx="30">
                  <c:v>92.1</c:v>
                </c:pt>
                <c:pt idx="31">
                  <c:v>91.45</c:v>
                </c:pt>
                <c:pt idx="32">
                  <c:v>90.25</c:v>
                </c:pt>
                <c:pt idx="33">
                  <c:v>89.93</c:v>
                </c:pt>
                <c:pt idx="34">
                  <c:v>88.92</c:v>
                </c:pt>
                <c:pt idx="35">
                  <c:v>88.13</c:v>
                </c:pt>
                <c:pt idx="36">
                  <c:v>87.02</c:v>
                </c:pt>
                <c:pt idx="37">
                  <c:v>86.22</c:v>
                </c:pt>
                <c:pt idx="38">
                  <c:v>85.11</c:v>
                </c:pt>
                <c:pt idx="39">
                  <c:v>84.39</c:v>
                </c:pt>
                <c:pt idx="40">
                  <c:v>83.3</c:v>
                </c:pt>
                <c:pt idx="41">
                  <c:v>82.37</c:v>
                </c:pt>
                <c:pt idx="42">
                  <c:v>81.459999999999994</c:v>
                </c:pt>
                <c:pt idx="43">
                  <c:v>80.45</c:v>
                </c:pt>
                <c:pt idx="44">
                  <c:v>79.400000000000006</c:v>
                </c:pt>
                <c:pt idx="45">
                  <c:v>78.459999999999994</c:v>
                </c:pt>
                <c:pt idx="46">
                  <c:v>77.56</c:v>
                </c:pt>
                <c:pt idx="47">
                  <c:v>76.56</c:v>
                </c:pt>
                <c:pt idx="48">
                  <c:v>75.62</c:v>
                </c:pt>
                <c:pt idx="49">
                  <c:v>74.69</c:v>
                </c:pt>
                <c:pt idx="50">
                  <c:v>73.69</c:v>
                </c:pt>
                <c:pt idx="51">
                  <c:v>72.88</c:v>
                </c:pt>
                <c:pt idx="52">
                  <c:v>71.989999999999995</c:v>
                </c:pt>
                <c:pt idx="53">
                  <c:v>71.25</c:v>
                </c:pt>
                <c:pt idx="54">
                  <c:v>70.39</c:v>
                </c:pt>
                <c:pt idx="55">
                  <c:v>69.680000000000007</c:v>
                </c:pt>
                <c:pt idx="56">
                  <c:v>69</c:v>
                </c:pt>
                <c:pt idx="57">
                  <c:v>68.33</c:v>
                </c:pt>
                <c:pt idx="58">
                  <c:v>67.7</c:v>
                </c:pt>
                <c:pt idx="59">
                  <c:v>67.14</c:v>
                </c:pt>
                <c:pt idx="60">
                  <c:v>66.7</c:v>
                </c:pt>
                <c:pt idx="61">
                  <c:v>66.209999999999994</c:v>
                </c:pt>
                <c:pt idx="62">
                  <c:v>65.86</c:v>
                </c:pt>
                <c:pt idx="63">
                  <c:v>65.56</c:v>
                </c:pt>
                <c:pt idx="64">
                  <c:v>65.28</c:v>
                </c:pt>
                <c:pt idx="65">
                  <c:v>65.08</c:v>
                </c:pt>
                <c:pt idx="66">
                  <c:v>64.959999999999994</c:v>
                </c:pt>
                <c:pt idx="67">
                  <c:v>64.819999999999993</c:v>
                </c:pt>
                <c:pt idx="68">
                  <c:v>64.69</c:v>
                </c:pt>
                <c:pt idx="69">
                  <c:v>64.66</c:v>
                </c:pt>
                <c:pt idx="70">
                  <c:v>64.66</c:v>
                </c:pt>
                <c:pt idx="71">
                  <c:v>64.66</c:v>
                </c:pt>
                <c:pt idx="72">
                  <c:v>64.67</c:v>
                </c:pt>
                <c:pt idx="73">
                  <c:v>64.86</c:v>
                </c:pt>
                <c:pt idx="74">
                  <c:v>65.03</c:v>
                </c:pt>
                <c:pt idx="75">
                  <c:v>65.17</c:v>
                </c:pt>
                <c:pt idx="76">
                  <c:v>65.56</c:v>
                </c:pt>
                <c:pt idx="77">
                  <c:v>66.02</c:v>
                </c:pt>
                <c:pt idx="78">
                  <c:v>66.53</c:v>
                </c:pt>
                <c:pt idx="79">
                  <c:v>67.239999999999995</c:v>
                </c:pt>
                <c:pt idx="80">
                  <c:v>68.06</c:v>
                </c:pt>
                <c:pt idx="81">
                  <c:v>69.06</c:v>
                </c:pt>
                <c:pt idx="82">
                  <c:v>70.260000000000005</c:v>
                </c:pt>
                <c:pt idx="83">
                  <c:v>71.36</c:v>
                </c:pt>
                <c:pt idx="84">
                  <c:v>72.599999999999994</c:v>
                </c:pt>
                <c:pt idx="85">
                  <c:v>73.900000000000006</c:v>
                </c:pt>
                <c:pt idx="86">
                  <c:v>74.69</c:v>
                </c:pt>
                <c:pt idx="87">
                  <c:v>73.849999999999994</c:v>
                </c:pt>
                <c:pt idx="88">
                  <c:v>72.290000000000006</c:v>
                </c:pt>
                <c:pt idx="89">
                  <c:v>69.97</c:v>
                </c:pt>
                <c:pt idx="90">
                  <c:v>67.05</c:v>
                </c:pt>
                <c:pt idx="91">
                  <c:v>63.94</c:v>
                </c:pt>
                <c:pt idx="92">
                  <c:v>61.03</c:v>
                </c:pt>
                <c:pt idx="93">
                  <c:v>58.8</c:v>
                </c:pt>
                <c:pt idx="94">
                  <c:v>56.95</c:v>
                </c:pt>
                <c:pt idx="95">
                  <c:v>55.1</c:v>
                </c:pt>
                <c:pt idx="96">
                  <c:v>53.39</c:v>
                </c:pt>
                <c:pt idx="97">
                  <c:v>49.81</c:v>
                </c:pt>
                <c:pt idx="98">
                  <c:v>44.27</c:v>
                </c:pt>
                <c:pt idx="99">
                  <c:v>41.1</c:v>
                </c:pt>
                <c:pt idx="100">
                  <c:v>39.32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E6-4865-9F5B-436A463EC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7123184"/>
        <c:axId val="84712270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PSRR_results!$B$1</c15:sqref>
                        </c15:formulaRef>
                      </c:ext>
                    </c:extLst>
                    <c:strCache>
                      <c:ptCount val="1"/>
                      <c:pt idx="0">
                        <c:v>Input FFT (dBV)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PSRR_results!$A$2:$A$47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  <c:pt idx="10">
                        <c:v>200</c:v>
                      </c:pt>
                      <c:pt idx="11">
                        <c:v>300</c:v>
                      </c:pt>
                      <c:pt idx="12">
                        <c:v>400</c:v>
                      </c:pt>
                      <c:pt idx="13">
                        <c:v>500</c:v>
                      </c:pt>
                      <c:pt idx="14">
                        <c:v>600</c:v>
                      </c:pt>
                      <c:pt idx="15">
                        <c:v>700</c:v>
                      </c:pt>
                      <c:pt idx="16">
                        <c:v>800</c:v>
                      </c:pt>
                      <c:pt idx="17">
                        <c:v>900</c:v>
                      </c:pt>
                      <c:pt idx="18">
                        <c:v>1000</c:v>
                      </c:pt>
                      <c:pt idx="19">
                        <c:v>2000</c:v>
                      </c:pt>
                      <c:pt idx="20">
                        <c:v>3000</c:v>
                      </c:pt>
                      <c:pt idx="21">
                        <c:v>4000</c:v>
                      </c:pt>
                      <c:pt idx="22">
                        <c:v>5000</c:v>
                      </c:pt>
                      <c:pt idx="23">
                        <c:v>6000</c:v>
                      </c:pt>
                      <c:pt idx="24">
                        <c:v>7000</c:v>
                      </c:pt>
                      <c:pt idx="25">
                        <c:v>8000</c:v>
                      </c:pt>
                      <c:pt idx="26">
                        <c:v>9000</c:v>
                      </c:pt>
                      <c:pt idx="27">
                        <c:v>10000</c:v>
                      </c:pt>
                      <c:pt idx="28">
                        <c:v>20000</c:v>
                      </c:pt>
                      <c:pt idx="29">
                        <c:v>30000</c:v>
                      </c:pt>
                      <c:pt idx="30">
                        <c:v>40000</c:v>
                      </c:pt>
                      <c:pt idx="31">
                        <c:v>50000</c:v>
                      </c:pt>
                      <c:pt idx="32">
                        <c:v>60000</c:v>
                      </c:pt>
                      <c:pt idx="33">
                        <c:v>70000</c:v>
                      </c:pt>
                      <c:pt idx="34">
                        <c:v>80000</c:v>
                      </c:pt>
                      <c:pt idx="35">
                        <c:v>90000</c:v>
                      </c:pt>
                      <c:pt idx="36">
                        <c:v>100000</c:v>
                      </c:pt>
                      <c:pt idx="37">
                        <c:v>200000</c:v>
                      </c:pt>
                      <c:pt idx="38">
                        <c:v>300000</c:v>
                      </c:pt>
                      <c:pt idx="39">
                        <c:v>400000</c:v>
                      </c:pt>
                      <c:pt idx="40">
                        <c:v>500000</c:v>
                      </c:pt>
                      <c:pt idx="41">
                        <c:v>600000</c:v>
                      </c:pt>
                      <c:pt idx="42">
                        <c:v>700000</c:v>
                      </c:pt>
                      <c:pt idx="43">
                        <c:v>800000</c:v>
                      </c:pt>
                      <c:pt idx="44">
                        <c:v>900000</c:v>
                      </c:pt>
                      <c:pt idx="45">
                        <c:v>1000000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PSRR_results!$B$2:$B$47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0">
                        <c:v>-23.97</c:v>
                      </c:pt>
                      <c:pt idx="1">
                        <c:v>-23.85</c:v>
                      </c:pt>
                      <c:pt idx="2">
                        <c:v>-23.35</c:v>
                      </c:pt>
                      <c:pt idx="3">
                        <c:v>-23.81</c:v>
                      </c:pt>
                      <c:pt idx="4">
                        <c:v>-23.8</c:v>
                      </c:pt>
                      <c:pt idx="5">
                        <c:v>-23.27</c:v>
                      </c:pt>
                      <c:pt idx="6">
                        <c:v>-23.25</c:v>
                      </c:pt>
                      <c:pt idx="7">
                        <c:v>-23.79</c:v>
                      </c:pt>
                      <c:pt idx="8">
                        <c:v>-23.61</c:v>
                      </c:pt>
                      <c:pt idx="9">
                        <c:v>-23.79</c:v>
                      </c:pt>
                      <c:pt idx="10">
                        <c:v>-23.78</c:v>
                      </c:pt>
                      <c:pt idx="11">
                        <c:v>-23.3</c:v>
                      </c:pt>
                      <c:pt idx="12">
                        <c:v>-23.77</c:v>
                      </c:pt>
                      <c:pt idx="13">
                        <c:v>-23.77</c:v>
                      </c:pt>
                      <c:pt idx="14">
                        <c:v>-23.24</c:v>
                      </c:pt>
                      <c:pt idx="15">
                        <c:v>-23.22</c:v>
                      </c:pt>
                      <c:pt idx="16">
                        <c:v>-23.77</c:v>
                      </c:pt>
                      <c:pt idx="17">
                        <c:v>-23.58</c:v>
                      </c:pt>
                      <c:pt idx="18">
                        <c:v>-23.76</c:v>
                      </c:pt>
                      <c:pt idx="19">
                        <c:v>-23.76</c:v>
                      </c:pt>
                      <c:pt idx="20">
                        <c:v>-23.64</c:v>
                      </c:pt>
                      <c:pt idx="21">
                        <c:v>-23.77</c:v>
                      </c:pt>
                      <c:pt idx="22">
                        <c:v>-23.36</c:v>
                      </c:pt>
                      <c:pt idx="23">
                        <c:v>-23.26</c:v>
                      </c:pt>
                      <c:pt idx="24">
                        <c:v>-23.26</c:v>
                      </c:pt>
                      <c:pt idx="25">
                        <c:v>-23.82</c:v>
                      </c:pt>
                      <c:pt idx="26">
                        <c:v>-23.52</c:v>
                      </c:pt>
                      <c:pt idx="27">
                        <c:v>-23.43</c:v>
                      </c:pt>
                      <c:pt idx="28">
                        <c:v>-23.48</c:v>
                      </c:pt>
                      <c:pt idx="29">
                        <c:v>-23.91</c:v>
                      </c:pt>
                      <c:pt idx="30">
                        <c:v>-24.19</c:v>
                      </c:pt>
                      <c:pt idx="31">
                        <c:v>-23.91</c:v>
                      </c:pt>
                      <c:pt idx="32">
                        <c:v>-23.93</c:v>
                      </c:pt>
                      <c:pt idx="33">
                        <c:v>-24.33</c:v>
                      </c:pt>
                      <c:pt idx="34">
                        <c:v>-24.68</c:v>
                      </c:pt>
                      <c:pt idx="35">
                        <c:v>-24.45</c:v>
                      </c:pt>
                      <c:pt idx="36">
                        <c:v>-24.41</c:v>
                      </c:pt>
                      <c:pt idx="37">
                        <c:v>-24.89</c:v>
                      </c:pt>
                      <c:pt idx="38">
                        <c:v>-24.96</c:v>
                      </c:pt>
                      <c:pt idx="39">
                        <c:v>-25.34</c:v>
                      </c:pt>
                      <c:pt idx="40">
                        <c:v>-25.76</c:v>
                      </c:pt>
                      <c:pt idx="41">
                        <c:v>-26.68</c:v>
                      </c:pt>
                      <c:pt idx="42">
                        <c:v>-28.04</c:v>
                      </c:pt>
                      <c:pt idx="43">
                        <c:v>-29.39</c:v>
                      </c:pt>
                      <c:pt idx="44">
                        <c:v>-30.54</c:v>
                      </c:pt>
                      <c:pt idx="45">
                        <c:v>-31.72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BD36-4CAA-BB00-995147B62760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PSRR_results!$C$1</c15:sqref>
                        </c15:formulaRef>
                      </c:ext>
                    </c:extLst>
                    <c:strCache>
                      <c:ptCount val="1"/>
                      <c:pt idx="0">
                        <c:v>Output FFT (dBV)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PSRR_results!$A$2:$A$47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  <c:pt idx="10">
                        <c:v>200</c:v>
                      </c:pt>
                      <c:pt idx="11">
                        <c:v>300</c:v>
                      </c:pt>
                      <c:pt idx="12">
                        <c:v>400</c:v>
                      </c:pt>
                      <c:pt idx="13">
                        <c:v>500</c:v>
                      </c:pt>
                      <c:pt idx="14">
                        <c:v>600</c:v>
                      </c:pt>
                      <c:pt idx="15">
                        <c:v>700</c:v>
                      </c:pt>
                      <c:pt idx="16">
                        <c:v>800</c:v>
                      </c:pt>
                      <c:pt idx="17">
                        <c:v>900</c:v>
                      </c:pt>
                      <c:pt idx="18">
                        <c:v>1000</c:v>
                      </c:pt>
                      <c:pt idx="19">
                        <c:v>2000</c:v>
                      </c:pt>
                      <c:pt idx="20">
                        <c:v>3000</c:v>
                      </c:pt>
                      <c:pt idx="21">
                        <c:v>4000</c:v>
                      </c:pt>
                      <c:pt idx="22">
                        <c:v>5000</c:v>
                      </c:pt>
                      <c:pt idx="23">
                        <c:v>6000</c:v>
                      </c:pt>
                      <c:pt idx="24">
                        <c:v>7000</c:v>
                      </c:pt>
                      <c:pt idx="25">
                        <c:v>8000</c:v>
                      </c:pt>
                      <c:pt idx="26">
                        <c:v>9000</c:v>
                      </c:pt>
                      <c:pt idx="27">
                        <c:v>10000</c:v>
                      </c:pt>
                      <c:pt idx="28">
                        <c:v>20000</c:v>
                      </c:pt>
                      <c:pt idx="29">
                        <c:v>30000</c:v>
                      </c:pt>
                      <c:pt idx="30">
                        <c:v>40000</c:v>
                      </c:pt>
                      <c:pt idx="31">
                        <c:v>50000</c:v>
                      </c:pt>
                      <c:pt idx="32">
                        <c:v>60000</c:v>
                      </c:pt>
                      <c:pt idx="33">
                        <c:v>70000</c:v>
                      </c:pt>
                      <c:pt idx="34">
                        <c:v>80000</c:v>
                      </c:pt>
                      <c:pt idx="35">
                        <c:v>90000</c:v>
                      </c:pt>
                      <c:pt idx="36">
                        <c:v>100000</c:v>
                      </c:pt>
                      <c:pt idx="37">
                        <c:v>200000</c:v>
                      </c:pt>
                      <c:pt idx="38">
                        <c:v>300000</c:v>
                      </c:pt>
                      <c:pt idx="39">
                        <c:v>400000</c:v>
                      </c:pt>
                      <c:pt idx="40">
                        <c:v>500000</c:v>
                      </c:pt>
                      <c:pt idx="41">
                        <c:v>600000</c:v>
                      </c:pt>
                      <c:pt idx="42">
                        <c:v>700000</c:v>
                      </c:pt>
                      <c:pt idx="43">
                        <c:v>800000</c:v>
                      </c:pt>
                      <c:pt idx="44">
                        <c:v>900000</c:v>
                      </c:pt>
                      <c:pt idx="45">
                        <c:v>1000000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PSRR_results!$C$2:$C$47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0">
                        <c:v>-50.23</c:v>
                      </c:pt>
                      <c:pt idx="1">
                        <c:v>-50.7</c:v>
                      </c:pt>
                      <c:pt idx="2">
                        <c:v>-52.41</c:v>
                      </c:pt>
                      <c:pt idx="3">
                        <c:v>-54.28</c:v>
                      </c:pt>
                      <c:pt idx="4">
                        <c:v>-56.1</c:v>
                      </c:pt>
                      <c:pt idx="5">
                        <c:v>-56.08</c:v>
                      </c:pt>
                      <c:pt idx="6">
                        <c:v>-57.53</c:v>
                      </c:pt>
                      <c:pt idx="7">
                        <c:v>-58.69</c:v>
                      </c:pt>
                      <c:pt idx="8">
                        <c:v>-58.51</c:v>
                      </c:pt>
                      <c:pt idx="9">
                        <c:v>-59.34</c:v>
                      </c:pt>
                      <c:pt idx="10">
                        <c:v>-57.98</c:v>
                      </c:pt>
                      <c:pt idx="11">
                        <c:v>-55.15</c:v>
                      </c:pt>
                      <c:pt idx="12">
                        <c:v>-53.72</c:v>
                      </c:pt>
                      <c:pt idx="13">
                        <c:v>-52.07</c:v>
                      </c:pt>
                      <c:pt idx="14">
                        <c:v>-50.22</c:v>
                      </c:pt>
                      <c:pt idx="15">
                        <c:v>-48.91</c:v>
                      </c:pt>
                      <c:pt idx="16">
                        <c:v>-48.34</c:v>
                      </c:pt>
                      <c:pt idx="17">
                        <c:v>-47.19</c:v>
                      </c:pt>
                      <c:pt idx="18">
                        <c:v>-46.5</c:v>
                      </c:pt>
                      <c:pt idx="19">
                        <c:v>-40.770000000000003</c:v>
                      </c:pt>
                      <c:pt idx="20">
                        <c:v>-37.22</c:v>
                      </c:pt>
                      <c:pt idx="21">
                        <c:v>-35.31</c:v>
                      </c:pt>
                      <c:pt idx="22">
                        <c:v>-33.270000000000003</c:v>
                      </c:pt>
                      <c:pt idx="23">
                        <c:v>-32.07</c:v>
                      </c:pt>
                      <c:pt idx="24">
                        <c:v>-31.07</c:v>
                      </c:pt>
                      <c:pt idx="25">
                        <c:v>-30.96</c:v>
                      </c:pt>
                      <c:pt idx="26">
                        <c:v>-29.99</c:v>
                      </c:pt>
                      <c:pt idx="27">
                        <c:v>-29.47</c:v>
                      </c:pt>
                      <c:pt idx="28">
                        <c:v>-27.7</c:v>
                      </c:pt>
                      <c:pt idx="29">
                        <c:v>-28.03</c:v>
                      </c:pt>
                      <c:pt idx="30">
                        <c:v>-28.25</c:v>
                      </c:pt>
                      <c:pt idx="31">
                        <c:v>-28.31</c:v>
                      </c:pt>
                      <c:pt idx="32">
                        <c:v>-28.69</c:v>
                      </c:pt>
                      <c:pt idx="33">
                        <c:v>-30.4</c:v>
                      </c:pt>
                      <c:pt idx="34">
                        <c:v>-30.35</c:v>
                      </c:pt>
                      <c:pt idx="35">
                        <c:v>-31.46</c:v>
                      </c:pt>
                      <c:pt idx="36">
                        <c:v>-32.51</c:v>
                      </c:pt>
                      <c:pt idx="37">
                        <c:v>-40.369999999999997</c:v>
                      </c:pt>
                      <c:pt idx="38">
                        <c:v>-33.21</c:v>
                      </c:pt>
                      <c:pt idx="39">
                        <c:v>-25.85</c:v>
                      </c:pt>
                      <c:pt idx="40">
                        <c:v>-22.98</c:v>
                      </c:pt>
                      <c:pt idx="41">
                        <c:v>-21.41</c:v>
                      </c:pt>
                      <c:pt idx="42">
                        <c:v>-18.850000000000001</c:v>
                      </c:pt>
                      <c:pt idx="43">
                        <c:v>-16.5</c:v>
                      </c:pt>
                      <c:pt idx="44">
                        <c:v>-17</c:v>
                      </c:pt>
                      <c:pt idx="45">
                        <c:v>-19.52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D36-4CAA-BB00-995147B62760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PSRR_results!$D$1</c15:sqref>
                        </c15:formulaRef>
                      </c:ext>
                    </c:extLst>
                    <c:strCache>
                      <c:ptCount val="1"/>
                      <c:pt idx="0">
                        <c:v>LNA Gain (dB)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PSRR_results!$A$2:$A$47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  <c:pt idx="10">
                        <c:v>200</c:v>
                      </c:pt>
                      <c:pt idx="11">
                        <c:v>300</c:v>
                      </c:pt>
                      <c:pt idx="12">
                        <c:v>400</c:v>
                      </c:pt>
                      <c:pt idx="13">
                        <c:v>500</c:v>
                      </c:pt>
                      <c:pt idx="14">
                        <c:v>600</c:v>
                      </c:pt>
                      <c:pt idx="15">
                        <c:v>700</c:v>
                      </c:pt>
                      <c:pt idx="16">
                        <c:v>800</c:v>
                      </c:pt>
                      <c:pt idx="17">
                        <c:v>900</c:v>
                      </c:pt>
                      <c:pt idx="18">
                        <c:v>1000</c:v>
                      </c:pt>
                      <c:pt idx="19">
                        <c:v>2000</c:v>
                      </c:pt>
                      <c:pt idx="20">
                        <c:v>3000</c:v>
                      </c:pt>
                      <c:pt idx="21">
                        <c:v>4000</c:v>
                      </c:pt>
                      <c:pt idx="22">
                        <c:v>5000</c:v>
                      </c:pt>
                      <c:pt idx="23">
                        <c:v>6000</c:v>
                      </c:pt>
                      <c:pt idx="24">
                        <c:v>7000</c:v>
                      </c:pt>
                      <c:pt idx="25">
                        <c:v>8000</c:v>
                      </c:pt>
                      <c:pt idx="26">
                        <c:v>9000</c:v>
                      </c:pt>
                      <c:pt idx="27">
                        <c:v>10000</c:v>
                      </c:pt>
                      <c:pt idx="28">
                        <c:v>20000</c:v>
                      </c:pt>
                      <c:pt idx="29">
                        <c:v>30000</c:v>
                      </c:pt>
                      <c:pt idx="30">
                        <c:v>40000</c:v>
                      </c:pt>
                      <c:pt idx="31">
                        <c:v>50000</c:v>
                      </c:pt>
                      <c:pt idx="32">
                        <c:v>60000</c:v>
                      </c:pt>
                      <c:pt idx="33">
                        <c:v>70000</c:v>
                      </c:pt>
                      <c:pt idx="34">
                        <c:v>80000</c:v>
                      </c:pt>
                      <c:pt idx="35">
                        <c:v>90000</c:v>
                      </c:pt>
                      <c:pt idx="36">
                        <c:v>100000</c:v>
                      </c:pt>
                      <c:pt idx="37">
                        <c:v>200000</c:v>
                      </c:pt>
                      <c:pt idx="38">
                        <c:v>300000</c:v>
                      </c:pt>
                      <c:pt idx="39">
                        <c:v>400000</c:v>
                      </c:pt>
                      <c:pt idx="40">
                        <c:v>500000</c:v>
                      </c:pt>
                      <c:pt idx="41">
                        <c:v>600000</c:v>
                      </c:pt>
                      <c:pt idx="42">
                        <c:v>700000</c:v>
                      </c:pt>
                      <c:pt idx="43">
                        <c:v>800000</c:v>
                      </c:pt>
                      <c:pt idx="44">
                        <c:v>900000</c:v>
                      </c:pt>
                      <c:pt idx="45">
                        <c:v>1000000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PSRR_results!$D$2:$D$47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0">
                        <c:v>56.52</c:v>
                      </c:pt>
                      <c:pt idx="1">
                        <c:v>59.27</c:v>
                      </c:pt>
                      <c:pt idx="2">
                        <c:v>59.88</c:v>
                      </c:pt>
                      <c:pt idx="3">
                        <c:v>60.11</c:v>
                      </c:pt>
                      <c:pt idx="4">
                        <c:v>60.24</c:v>
                      </c:pt>
                      <c:pt idx="5">
                        <c:v>60.29</c:v>
                      </c:pt>
                      <c:pt idx="6">
                        <c:v>60.32</c:v>
                      </c:pt>
                      <c:pt idx="7">
                        <c:v>60.35</c:v>
                      </c:pt>
                      <c:pt idx="8">
                        <c:v>60.38</c:v>
                      </c:pt>
                      <c:pt idx="9">
                        <c:v>60.38</c:v>
                      </c:pt>
                      <c:pt idx="10">
                        <c:v>60.46</c:v>
                      </c:pt>
                      <c:pt idx="11">
                        <c:v>60.45</c:v>
                      </c:pt>
                      <c:pt idx="12">
                        <c:v>60.46</c:v>
                      </c:pt>
                      <c:pt idx="13">
                        <c:v>60.47</c:v>
                      </c:pt>
                      <c:pt idx="14">
                        <c:v>60.49</c:v>
                      </c:pt>
                      <c:pt idx="15">
                        <c:v>60.47</c:v>
                      </c:pt>
                      <c:pt idx="16">
                        <c:v>60.46</c:v>
                      </c:pt>
                      <c:pt idx="17">
                        <c:v>60.48</c:v>
                      </c:pt>
                      <c:pt idx="18">
                        <c:v>60.46</c:v>
                      </c:pt>
                      <c:pt idx="19">
                        <c:v>60.46</c:v>
                      </c:pt>
                      <c:pt idx="20">
                        <c:v>60.47</c:v>
                      </c:pt>
                      <c:pt idx="21">
                        <c:v>60.47</c:v>
                      </c:pt>
                      <c:pt idx="22">
                        <c:v>60.48</c:v>
                      </c:pt>
                      <c:pt idx="23">
                        <c:v>60.48</c:v>
                      </c:pt>
                      <c:pt idx="24">
                        <c:v>60.47</c:v>
                      </c:pt>
                      <c:pt idx="25">
                        <c:v>60.45</c:v>
                      </c:pt>
                      <c:pt idx="26">
                        <c:v>60.47</c:v>
                      </c:pt>
                      <c:pt idx="27">
                        <c:v>60.5</c:v>
                      </c:pt>
                      <c:pt idx="28">
                        <c:v>60.51</c:v>
                      </c:pt>
                      <c:pt idx="29">
                        <c:v>60.51</c:v>
                      </c:pt>
                      <c:pt idx="30">
                        <c:v>60.5</c:v>
                      </c:pt>
                      <c:pt idx="31">
                        <c:v>60.52</c:v>
                      </c:pt>
                      <c:pt idx="32">
                        <c:v>60.48</c:v>
                      </c:pt>
                      <c:pt idx="33">
                        <c:v>60.5</c:v>
                      </c:pt>
                      <c:pt idx="34">
                        <c:v>60.5</c:v>
                      </c:pt>
                      <c:pt idx="35">
                        <c:v>60.49</c:v>
                      </c:pt>
                      <c:pt idx="36">
                        <c:v>60.5</c:v>
                      </c:pt>
                      <c:pt idx="37">
                        <c:v>60.52</c:v>
                      </c:pt>
                      <c:pt idx="38">
                        <c:v>60.44</c:v>
                      </c:pt>
                      <c:pt idx="39">
                        <c:v>60.35</c:v>
                      </c:pt>
                      <c:pt idx="40">
                        <c:v>60.17</c:v>
                      </c:pt>
                      <c:pt idx="41">
                        <c:v>59.72</c:v>
                      </c:pt>
                      <c:pt idx="42">
                        <c:v>58.7</c:v>
                      </c:pt>
                      <c:pt idx="43">
                        <c:v>56.89</c:v>
                      </c:pt>
                      <c:pt idx="44">
                        <c:v>54.3</c:v>
                      </c:pt>
                      <c:pt idx="45">
                        <c:v>51.4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D36-4CAA-BB00-995147B62760}"/>
                  </c:ext>
                </c:extLst>
              </c15:ser>
            </c15:filteredScatterSeries>
          </c:ext>
        </c:extLst>
      </c:scatterChart>
      <c:valAx>
        <c:axId val="847123184"/>
        <c:scaling>
          <c:logBase val="10"/>
          <c:orientation val="minMax"/>
          <c:max val="100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122704"/>
        <c:crosses val="autoZero"/>
        <c:crossBetween val="midCat"/>
      </c:valAx>
      <c:valAx>
        <c:axId val="8471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12318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180974</xdr:rowOff>
    </xdr:from>
    <xdr:to>
      <xdr:col>23</xdr:col>
      <xdr:colOff>376237</xdr:colOff>
      <xdr:row>25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A69C16-84BE-A47F-4025-6A483FA6C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AD57F-B4EA-4B15-BBDB-A7F728205517}">
  <dimension ref="A1:L103"/>
  <sheetViews>
    <sheetView tabSelected="1" workbookViewId="0">
      <selection activeCell="N6" sqref="N6"/>
    </sheetView>
  </sheetViews>
  <sheetFormatPr defaultRowHeight="15" x14ac:dyDescent="0.25"/>
  <sheetData>
    <row r="1" spans="1:12" ht="30" x14ac:dyDescent="0.25">
      <c r="A1" t="s">
        <v>0</v>
      </c>
      <c r="B1" t="s">
        <v>1</v>
      </c>
      <c r="C1" t="s">
        <v>2</v>
      </c>
      <c r="D1" t="s">
        <v>3</v>
      </c>
      <c r="E1" t="s">
        <v>15</v>
      </c>
      <c r="G1" s="1" t="s">
        <v>5</v>
      </c>
      <c r="H1" s="1" t="s">
        <v>6</v>
      </c>
      <c r="I1" s="1" t="s">
        <v>4</v>
      </c>
      <c r="J1" s="1" t="s">
        <v>7</v>
      </c>
      <c r="K1" s="1" t="s">
        <v>8</v>
      </c>
      <c r="L1" s="1" t="s">
        <v>9</v>
      </c>
    </row>
    <row r="2" spans="1:12" x14ac:dyDescent="0.25">
      <c r="A2">
        <v>10</v>
      </c>
      <c r="B2">
        <v>-23.97</v>
      </c>
      <c r="C2">
        <v>-50.23</v>
      </c>
      <c r="D2">
        <v>56.52</v>
      </c>
      <c r="E2">
        <v>82.78</v>
      </c>
      <c r="G2" s="2">
        <v>2</v>
      </c>
      <c r="H2" s="3">
        <v>10.6432</v>
      </c>
      <c r="I2" s="3">
        <v>83.09</v>
      </c>
      <c r="J2" s="3">
        <v>119.4</v>
      </c>
      <c r="K2" s="3">
        <v>1.346E-5</v>
      </c>
      <c r="L2" s="3">
        <v>0.192</v>
      </c>
    </row>
    <row r="3" spans="1:12" x14ac:dyDescent="0.25">
      <c r="A3">
        <v>20</v>
      </c>
      <c r="B3">
        <v>-23.85</v>
      </c>
      <c r="C3">
        <v>-50.7</v>
      </c>
      <c r="D3">
        <v>59.27</v>
      </c>
      <c r="E3">
        <v>86.12</v>
      </c>
      <c r="G3" s="2">
        <v>2</v>
      </c>
      <c r="H3" s="3">
        <v>11.100899999999999</v>
      </c>
      <c r="I3" s="3">
        <v>83.47</v>
      </c>
      <c r="J3" s="3">
        <v>121.2</v>
      </c>
      <c r="K3" s="3">
        <v>1.2819999999999999E-5</v>
      </c>
      <c r="L3" s="3">
        <v>0.19120000000000001</v>
      </c>
    </row>
    <row r="4" spans="1:12" x14ac:dyDescent="0.25">
      <c r="A4">
        <v>30</v>
      </c>
      <c r="B4">
        <v>-23.35</v>
      </c>
      <c r="C4">
        <v>-52.41</v>
      </c>
      <c r="D4">
        <v>59.88</v>
      </c>
      <c r="E4">
        <v>88.94</v>
      </c>
      <c r="G4" s="2">
        <v>2</v>
      </c>
      <c r="H4" s="3">
        <v>12.588699999999999</v>
      </c>
      <c r="I4" s="3">
        <v>84.04</v>
      </c>
      <c r="J4" s="3">
        <v>134.5</v>
      </c>
      <c r="K4" s="3">
        <v>1.2150000000000001E-5</v>
      </c>
      <c r="L4" s="3">
        <v>0.19350000000000001</v>
      </c>
    </row>
    <row r="5" spans="1:12" x14ac:dyDescent="0.25">
      <c r="A5">
        <v>40</v>
      </c>
      <c r="B5">
        <v>-23.81</v>
      </c>
      <c r="C5">
        <v>-54.28</v>
      </c>
      <c r="D5">
        <v>60.11</v>
      </c>
      <c r="E5">
        <v>90.58</v>
      </c>
      <c r="G5" s="2">
        <v>2</v>
      </c>
      <c r="H5" s="3">
        <v>14.0764</v>
      </c>
      <c r="I5" s="3">
        <v>84.65</v>
      </c>
      <c r="J5" s="3">
        <v>148.19999999999999</v>
      </c>
      <c r="K5" s="3">
        <v>1.13E-5</v>
      </c>
      <c r="L5" s="3">
        <v>0.19309999999999999</v>
      </c>
    </row>
    <row r="6" spans="1:12" x14ac:dyDescent="0.25">
      <c r="A6">
        <v>50</v>
      </c>
      <c r="B6">
        <v>-23.8</v>
      </c>
      <c r="C6">
        <v>-56.1</v>
      </c>
      <c r="D6">
        <v>60.24</v>
      </c>
      <c r="E6">
        <v>92.53</v>
      </c>
      <c r="G6" s="2">
        <v>2</v>
      </c>
      <c r="H6" s="3">
        <v>16.021999999999998</v>
      </c>
      <c r="I6" s="3">
        <v>84.9</v>
      </c>
      <c r="J6" s="3">
        <v>163.30000000000001</v>
      </c>
      <c r="K6" s="3">
        <v>1.1090000000000001E-5</v>
      </c>
      <c r="L6" s="3">
        <v>0.19500000000000001</v>
      </c>
    </row>
    <row r="7" spans="1:12" x14ac:dyDescent="0.25">
      <c r="A7">
        <v>60</v>
      </c>
      <c r="B7">
        <v>-23.27</v>
      </c>
      <c r="C7">
        <v>-56.08</v>
      </c>
      <c r="D7">
        <v>60.29</v>
      </c>
      <c r="E7">
        <v>93.11</v>
      </c>
      <c r="G7" s="2">
        <v>2</v>
      </c>
      <c r="H7" s="3">
        <v>17.967500000000001</v>
      </c>
      <c r="I7" s="3">
        <v>85.9</v>
      </c>
      <c r="J7" s="3">
        <v>174.8</v>
      </c>
      <c r="K7" s="3">
        <v>9.8439999999999993E-6</v>
      </c>
      <c r="L7" s="3">
        <v>0.19420000000000001</v>
      </c>
    </row>
    <row r="8" spans="1:12" x14ac:dyDescent="0.25">
      <c r="A8">
        <v>70</v>
      </c>
      <c r="B8">
        <v>-23.25</v>
      </c>
      <c r="C8">
        <v>-57.53</v>
      </c>
      <c r="D8">
        <v>60.32</v>
      </c>
      <c r="E8">
        <v>94.6</v>
      </c>
      <c r="G8" s="2">
        <v>2</v>
      </c>
      <c r="H8" s="3">
        <v>19.7986</v>
      </c>
      <c r="I8" s="3">
        <v>86.36</v>
      </c>
      <c r="J8" s="3">
        <v>-178.4</v>
      </c>
      <c r="K8" s="3">
        <v>9.3610000000000007E-6</v>
      </c>
      <c r="L8" s="3">
        <v>0.1946</v>
      </c>
    </row>
    <row r="9" spans="1:12" x14ac:dyDescent="0.25">
      <c r="A9">
        <v>80</v>
      </c>
      <c r="B9">
        <v>-23.79</v>
      </c>
      <c r="C9">
        <v>-58.69</v>
      </c>
      <c r="D9">
        <v>60.35</v>
      </c>
      <c r="E9">
        <v>95.24</v>
      </c>
      <c r="G9" s="2">
        <v>2</v>
      </c>
      <c r="H9" s="3">
        <v>22.545200000000001</v>
      </c>
      <c r="I9" s="3">
        <v>87.25</v>
      </c>
      <c r="J9" s="3">
        <v>-166.5</v>
      </c>
      <c r="K9" s="3">
        <v>8.4600000000000003E-6</v>
      </c>
      <c r="L9" s="3">
        <v>0.19489999999999999</v>
      </c>
    </row>
    <row r="10" spans="1:12" x14ac:dyDescent="0.25">
      <c r="A10">
        <v>90</v>
      </c>
      <c r="B10">
        <v>-23.61</v>
      </c>
      <c r="C10">
        <v>-58.51</v>
      </c>
      <c r="D10">
        <v>60.38</v>
      </c>
      <c r="E10">
        <v>95.29</v>
      </c>
      <c r="G10" s="2">
        <v>2</v>
      </c>
      <c r="H10" s="3">
        <v>25.177399999999999</v>
      </c>
      <c r="I10" s="3">
        <v>88.17</v>
      </c>
      <c r="J10" s="3">
        <v>-157</v>
      </c>
      <c r="K10" s="3">
        <v>7.6680000000000001E-6</v>
      </c>
      <c r="L10" s="3">
        <v>0.19650000000000001</v>
      </c>
    </row>
    <row r="11" spans="1:12" x14ac:dyDescent="0.25">
      <c r="A11">
        <v>100</v>
      </c>
      <c r="B11">
        <v>-23.79</v>
      </c>
      <c r="C11">
        <v>-59.34</v>
      </c>
      <c r="D11">
        <v>60.38</v>
      </c>
      <c r="E11">
        <v>95.93</v>
      </c>
      <c r="G11" s="2">
        <v>2</v>
      </c>
      <c r="H11" s="3">
        <v>28.267299999999999</v>
      </c>
      <c r="I11" s="3">
        <v>88.62</v>
      </c>
      <c r="J11" s="3">
        <v>-150.4</v>
      </c>
      <c r="K11" s="3">
        <v>7.238E-6</v>
      </c>
      <c r="L11" s="3">
        <v>0.19539999999999999</v>
      </c>
    </row>
    <row r="12" spans="1:12" x14ac:dyDescent="0.25">
      <c r="A12">
        <v>200</v>
      </c>
      <c r="B12">
        <v>-23.78</v>
      </c>
      <c r="C12">
        <v>-57.98</v>
      </c>
      <c r="D12">
        <v>60.46</v>
      </c>
      <c r="E12">
        <v>94.65</v>
      </c>
      <c r="G12" s="2">
        <v>2</v>
      </c>
      <c r="H12" s="3">
        <v>32.043900000000001</v>
      </c>
      <c r="I12" s="3">
        <v>89.3</v>
      </c>
      <c r="J12" s="3">
        <v>-138.5</v>
      </c>
      <c r="K12" s="3">
        <v>6.742E-6</v>
      </c>
      <c r="L12" s="3">
        <v>0.19670000000000001</v>
      </c>
    </row>
    <row r="13" spans="1:12" x14ac:dyDescent="0.25">
      <c r="A13">
        <v>300</v>
      </c>
      <c r="B13">
        <v>-23.3</v>
      </c>
      <c r="C13">
        <v>-55.15</v>
      </c>
      <c r="D13">
        <v>60.45</v>
      </c>
      <c r="E13">
        <v>92.3</v>
      </c>
      <c r="G13" s="2">
        <v>2</v>
      </c>
      <c r="H13" s="3">
        <v>35.477200000000003</v>
      </c>
      <c r="I13" s="3">
        <v>90.26</v>
      </c>
      <c r="J13" s="3">
        <v>-134</v>
      </c>
      <c r="K13" s="3">
        <v>6.0410000000000003E-6</v>
      </c>
      <c r="L13" s="3">
        <v>0.1968</v>
      </c>
    </row>
    <row r="14" spans="1:12" x14ac:dyDescent="0.25">
      <c r="A14">
        <v>400</v>
      </c>
      <c r="B14">
        <v>-23.77</v>
      </c>
      <c r="C14">
        <v>-53.72</v>
      </c>
      <c r="D14">
        <v>60.46</v>
      </c>
      <c r="E14">
        <v>90.41</v>
      </c>
      <c r="G14" s="2">
        <v>2</v>
      </c>
      <c r="H14" s="3">
        <v>40.054900000000004</v>
      </c>
      <c r="I14" s="3">
        <v>91.27</v>
      </c>
      <c r="J14" s="3">
        <v>-126.1</v>
      </c>
      <c r="K14" s="3">
        <v>5.3789999999999997E-6</v>
      </c>
      <c r="L14" s="3">
        <v>0.19689999999999999</v>
      </c>
    </row>
    <row r="15" spans="1:12" x14ac:dyDescent="0.25">
      <c r="A15">
        <v>500</v>
      </c>
      <c r="B15">
        <v>-23.77</v>
      </c>
      <c r="C15">
        <v>-52.07</v>
      </c>
      <c r="D15">
        <v>60.47</v>
      </c>
      <c r="E15">
        <v>88.77</v>
      </c>
      <c r="G15" s="2">
        <v>2</v>
      </c>
      <c r="H15" s="3">
        <v>44.632599999999996</v>
      </c>
      <c r="I15" s="3">
        <v>92.2</v>
      </c>
      <c r="J15" s="3">
        <v>-122.6</v>
      </c>
      <c r="K15" s="3">
        <v>4.8369999999999996E-6</v>
      </c>
      <c r="L15" s="3">
        <v>0.19700000000000001</v>
      </c>
    </row>
    <row r="16" spans="1:12" x14ac:dyDescent="0.25">
      <c r="A16">
        <v>600</v>
      </c>
      <c r="B16">
        <v>-23.24</v>
      </c>
      <c r="C16">
        <v>-50.22</v>
      </c>
      <c r="D16">
        <v>60.49</v>
      </c>
      <c r="E16">
        <v>87.47</v>
      </c>
      <c r="G16" s="2">
        <v>2</v>
      </c>
      <c r="H16" s="3">
        <v>50.354799999999997</v>
      </c>
      <c r="I16" s="3">
        <v>92.4</v>
      </c>
      <c r="J16" s="3">
        <v>-116.6</v>
      </c>
      <c r="K16" s="3">
        <v>4.7269999999999998E-6</v>
      </c>
      <c r="L16" s="3">
        <v>0.1971</v>
      </c>
    </row>
    <row r="17" spans="1:12" x14ac:dyDescent="0.25">
      <c r="A17">
        <v>700</v>
      </c>
      <c r="B17">
        <v>-23.22</v>
      </c>
      <c r="C17">
        <v>-48.91</v>
      </c>
      <c r="D17">
        <v>60.47</v>
      </c>
      <c r="E17">
        <v>86.16</v>
      </c>
      <c r="G17" s="2">
        <v>2</v>
      </c>
      <c r="H17" s="3">
        <v>56.076900000000002</v>
      </c>
      <c r="I17" s="3">
        <v>92.98</v>
      </c>
      <c r="J17" s="3">
        <v>-113.7</v>
      </c>
      <c r="K17" s="3">
        <v>4.4229999999999998E-6</v>
      </c>
      <c r="L17" s="3">
        <v>0.1971</v>
      </c>
    </row>
    <row r="18" spans="1:12" x14ac:dyDescent="0.25">
      <c r="A18">
        <v>800</v>
      </c>
      <c r="B18">
        <v>-23.77</v>
      </c>
      <c r="C18">
        <v>-48.34</v>
      </c>
      <c r="D18">
        <v>60.46</v>
      </c>
      <c r="E18">
        <v>85.03</v>
      </c>
      <c r="G18" s="2">
        <v>2</v>
      </c>
      <c r="H18" s="3">
        <v>62.9435</v>
      </c>
      <c r="I18" s="3">
        <v>93.24</v>
      </c>
      <c r="J18" s="3">
        <v>-107.3</v>
      </c>
      <c r="K18" s="3">
        <v>4.2939999999999999E-6</v>
      </c>
      <c r="L18" s="3">
        <v>0.1971</v>
      </c>
    </row>
    <row r="19" spans="1:12" x14ac:dyDescent="0.25">
      <c r="A19">
        <v>900</v>
      </c>
      <c r="B19">
        <v>-23.58</v>
      </c>
      <c r="C19">
        <v>-47.19</v>
      </c>
      <c r="D19">
        <v>60.48</v>
      </c>
      <c r="E19">
        <v>84.08</v>
      </c>
      <c r="G19" s="2">
        <v>2</v>
      </c>
      <c r="H19" s="3">
        <v>70.954499999999996</v>
      </c>
      <c r="I19" s="3">
        <v>94.02</v>
      </c>
      <c r="J19" s="3">
        <v>-106.4</v>
      </c>
      <c r="K19" s="3">
        <v>3.9260000000000002E-6</v>
      </c>
      <c r="L19" s="3">
        <v>0.19719999999999999</v>
      </c>
    </row>
    <row r="20" spans="1:12" x14ac:dyDescent="0.25">
      <c r="A20">
        <v>1000</v>
      </c>
      <c r="B20">
        <v>-23.76</v>
      </c>
      <c r="C20">
        <v>-46.5</v>
      </c>
      <c r="D20">
        <v>60.46</v>
      </c>
      <c r="E20">
        <v>83.2</v>
      </c>
      <c r="G20" s="2">
        <v>2</v>
      </c>
      <c r="H20" s="3">
        <v>78.965400000000002</v>
      </c>
      <c r="I20" s="3">
        <v>94.52</v>
      </c>
      <c r="J20" s="3">
        <v>-104.4</v>
      </c>
      <c r="K20" s="3">
        <v>3.704E-6</v>
      </c>
      <c r="L20" s="3">
        <v>0.19719999999999999</v>
      </c>
    </row>
    <row r="21" spans="1:12" x14ac:dyDescent="0.25">
      <c r="A21">
        <v>2000</v>
      </c>
      <c r="B21">
        <v>-23.76</v>
      </c>
      <c r="C21">
        <v>-40.770000000000003</v>
      </c>
      <c r="D21">
        <v>60.46</v>
      </c>
      <c r="E21">
        <v>77.48</v>
      </c>
      <c r="G21" s="2">
        <v>2</v>
      </c>
      <c r="H21" s="3">
        <v>89.265299999999996</v>
      </c>
      <c r="I21" s="3">
        <v>95.54</v>
      </c>
      <c r="J21" s="3">
        <v>-99.19</v>
      </c>
      <c r="K21" s="3">
        <v>3.2969999999999999E-6</v>
      </c>
      <c r="L21" s="3">
        <v>0.19719999999999999</v>
      </c>
    </row>
    <row r="22" spans="1:12" x14ac:dyDescent="0.25">
      <c r="A22">
        <v>3000</v>
      </c>
      <c r="B22">
        <v>-23.64</v>
      </c>
      <c r="C22">
        <v>-37.22</v>
      </c>
      <c r="D22">
        <v>60.47</v>
      </c>
      <c r="E22">
        <v>74.06</v>
      </c>
      <c r="G22" s="2">
        <v>2</v>
      </c>
      <c r="H22" s="3">
        <v>99.565100000000001</v>
      </c>
      <c r="I22" s="3">
        <v>95.38</v>
      </c>
      <c r="J22" s="3">
        <v>-101</v>
      </c>
      <c r="K22" s="3">
        <v>3.3569999999999998E-6</v>
      </c>
      <c r="L22" s="3">
        <v>0.19719999999999999</v>
      </c>
    </row>
    <row r="23" spans="1:12" x14ac:dyDescent="0.25">
      <c r="A23">
        <v>4000</v>
      </c>
      <c r="B23">
        <v>-23.77</v>
      </c>
      <c r="C23">
        <v>-35.31</v>
      </c>
      <c r="D23">
        <v>60.47</v>
      </c>
      <c r="E23">
        <v>72.010000000000005</v>
      </c>
      <c r="G23" s="2">
        <v>2</v>
      </c>
      <c r="H23" s="3">
        <v>112.154</v>
      </c>
      <c r="I23" s="3">
        <v>95.92</v>
      </c>
      <c r="J23" s="3">
        <v>-93.95</v>
      </c>
      <c r="K23" s="3">
        <v>3.1549999999999999E-6</v>
      </c>
      <c r="L23" s="3">
        <v>0.19719999999999999</v>
      </c>
    </row>
    <row r="24" spans="1:12" x14ac:dyDescent="0.25">
      <c r="A24">
        <v>5000</v>
      </c>
      <c r="B24">
        <v>-23.36</v>
      </c>
      <c r="C24">
        <v>-33.270000000000003</v>
      </c>
      <c r="D24">
        <v>60.48</v>
      </c>
      <c r="E24">
        <v>70.400000000000006</v>
      </c>
      <c r="G24" s="2">
        <v>2</v>
      </c>
      <c r="H24" s="3">
        <v>125.887</v>
      </c>
      <c r="I24" s="3">
        <v>96.09</v>
      </c>
      <c r="J24" s="3">
        <v>-93.64</v>
      </c>
      <c r="K24" s="3">
        <v>3.095E-6</v>
      </c>
      <c r="L24" s="3">
        <v>0.1973</v>
      </c>
    </row>
    <row r="25" spans="1:12" x14ac:dyDescent="0.25">
      <c r="A25">
        <v>6000</v>
      </c>
      <c r="B25">
        <v>-23.26</v>
      </c>
      <c r="C25">
        <v>-32.07</v>
      </c>
      <c r="D25">
        <v>60.48</v>
      </c>
      <c r="E25">
        <v>69.290000000000006</v>
      </c>
      <c r="G25" s="2">
        <v>2</v>
      </c>
      <c r="H25" s="3">
        <v>140.76400000000001</v>
      </c>
      <c r="I25" s="3">
        <v>96.27</v>
      </c>
      <c r="J25" s="3">
        <v>-93.64</v>
      </c>
      <c r="K25" s="3">
        <v>3.0309999999999999E-6</v>
      </c>
      <c r="L25" s="3">
        <v>0.1973</v>
      </c>
    </row>
    <row r="26" spans="1:12" x14ac:dyDescent="0.25">
      <c r="A26">
        <v>7000</v>
      </c>
      <c r="B26">
        <v>-23.26</v>
      </c>
      <c r="C26">
        <v>-31.07</v>
      </c>
      <c r="D26">
        <v>60.47</v>
      </c>
      <c r="E26">
        <v>68.28</v>
      </c>
      <c r="G26" s="2">
        <v>2</v>
      </c>
      <c r="H26" s="3">
        <v>157.93100000000001</v>
      </c>
      <c r="I26" s="3">
        <v>95.44</v>
      </c>
      <c r="J26" s="3">
        <v>-91.5</v>
      </c>
      <c r="K26" s="3">
        <v>3.3330000000000001E-6</v>
      </c>
      <c r="L26" s="3">
        <v>0.1973</v>
      </c>
    </row>
    <row r="27" spans="1:12" x14ac:dyDescent="0.25">
      <c r="A27">
        <v>8000</v>
      </c>
      <c r="B27">
        <v>-23.82</v>
      </c>
      <c r="C27">
        <v>-30.96</v>
      </c>
      <c r="D27">
        <v>60.45</v>
      </c>
      <c r="E27">
        <v>67.59</v>
      </c>
      <c r="G27" s="2">
        <v>2</v>
      </c>
      <c r="H27" s="3">
        <v>177.386</v>
      </c>
      <c r="I27" s="3">
        <v>95.33</v>
      </c>
      <c r="J27" s="3">
        <v>-91.81</v>
      </c>
      <c r="K27" s="3">
        <v>3.377E-6</v>
      </c>
      <c r="L27" s="3">
        <v>0.1973</v>
      </c>
    </row>
    <row r="28" spans="1:12" x14ac:dyDescent="0.25">
      <c r="A28">
        <v>9000</v>
      </c>
      <c r="B28">
        <v>-23.52</v>
      </c>
      <c r="C28">
        <v>-29.99</v>
      </c>
      <c r="D28">
        <v>60.47</v>
      </c>
      <c r="E28">
        <v>66.94</v>
      </c>
      <c r="G28" s="2">
        <v>2</v>
      </c>
      <c r="H28" s="3">
        <v>199.13</v>
      </c>
      <c r="I28" s="3">
        <v>94.6</v>
      </c>
      <c r="J28" s="3">
        <v>-88.84</v>
      </c>
      <c r="K28" s="3">
        <v>3.6729999999999998E-6</v>
      </c>
      <c r="L28" s="3">
        <v>0.1973</v>
      </c>
    </row>
    <row r="29" spans="1:12" x14ac:dyDescent="0.25">
      <c r="A29">
        <v>10000</v>
      </c>
      <c r="B29">
        <v>-23.43</v>
      </c>
      <c r="C29">
        <v>-29.47</v>
      </c>
      <c r="D29">
        <v>60.5</v>
      </c>
      <c r="E29">
        <v>66.540000000000006</v>
      </c>
      <c r="G29" s="2">
        <v>2</v>
      </c>
      <c r="H29" s="3">
        <v>224.30799999999999</v>
      </c>
      <c r="I29" s="3">
        <v>93.79</v>
      </c>
      <c r="J29" s="3">
        <v>-91.58</v>
      </c>
      <c r="K29" s="3">
        <v>4.0330000000000002E-6</v>
      </c>
      <c r="L29" s="3">
        <v>0.1973</v>
      </c>
    </row>
    <row r="30" spans="1:12" x14ac:dyDescent="0.25">
      <c r="A30">
        <v>20000</v>
      </c>
      <c r="B30">
        <v>-23.48</v>
      </c>
      <c r="C30">
        <v>-27.7</v>
      </c>
      <c r="D30">
        <v>60.51</v>
      </c>
      <c r="E30">
        <v>64.72</v>
      </c>
      <c r="G30" s="2">
        <v>2</v>
      </c>
      <c r="H30" s="3">
        <v>250.62899999999999</v>
      </c>
      <c r="I30" s="3">
        <v>93.41</v>
      </c>
      <c r="J30" s="3">
        <v>-88.27</v>
      </c>
      <c r="K30" s="3">
        <v>4.211E-6</v>
      </c>
      <c r="L30" s="3">
        <v>0.19719999999999999</v>
      </c>
    </row>
    <row r="31" spans="1:12" x14ac:dyDescent="0.25">
      <c r="A31">
        <v>30000</v>
      </c>
      <c r="B31">
        <v>-23.91</v>
      </c>
      <c r="C31">
        <v>-28.03</v>
      </c>
      <c r="D31">
        <v>60.51</v>
      </c>
      <c r="E31">
        <v>64.64</v>
      </c>
      <c r="G31" s="2">
        <v>2</v>
      </c>
      <c r="H31" s="3">
        <v>281.529</v>
      </c>
      <c r="I31" s="3">
        <v>93.03</v>
      </c>
      <c r="J31" s="3">
        <v>-85.96</v>
      </c>
      <c r="K31" s="3">
        <v>4.3980000000000001E-6</v>
      </c>
      <c r="L31" s="3">
        <v>0.19719999999999999</v>
      </c>
    </row>
    <row r="32" spans="1:12" x14ac:dyDescent="0.25">
      <c r="A32">
        <v>40000</v>
      </c>
      <c r="B32">
        <v>-24.19</v>
      </c>
      <c r="C32">
        <v>-28.25</v>
      </c>
      <c r="D32">
        <v>60.5</v>
      </c>
      <c r="E32">
        <v>64.56</v>
      </c>
      <c r="G32" s="2">
        <v>2</v>
      </c>
      <c r="H32" s="3">
        <v>320.43900000000002</v>
      </c>
      <c r="I32" s="3">
        <v>92.1</v>
      </c>
      <c r="J32" s="3">
        <v>-88.47</v>
      </c>
      <c r="K32" s="3">
        <v>4.904E-6</v>
      </c>
      <c r="L32" s="3">
        <v>0.19739999999999999</v>
      </c>
    </row>
    <row r="33" spans="1:12" x14ac:dyDescent="0.25">
      <c r="A33">
        <v>50000</v>
      </c>
      <c r="B33">
        <v>-23.91</v>
      </c>
      <c r="C33">
        <v>-28.31</v>
      </c>
      <c r="D33">
        <v>60.52</v>
      </c>
      <c r="E33">
        <v>64.92</v>
      </c>
      <c r="G33" s="2">
        <v>2</v>
      </c>
      <c r="H33" s="3">
        <v>354.77199999999999</v>
      </c>
      <c r="I33" s="3">
        <v>91.45</v>
      </c>
      <c r="J33" s="3">
        <v>-87.19</v>
      </c>
      <c r="K33" s="3">
        <v>5.2809999999999999E-6</v>
      </c>
      <c r="L33" s="3">
        <v>0.1973</v>
      </c>
    </row>
    <row r="34" spans="1:12" x14ac:dyDescent="0.25">
      <c r="A34">
        <v>60000</v>
      </c>
      <c r="B34">
        <v>-23.93</v>
      </c>
      <c r="C34">
        <v>-28.69</v>
      </c>
      <c r="D34">
        <v>60.48</v>
      </c>
      <c r="E34">
        <v>65.239999999999995</v>
      </c>
      <c r="G34" s="2">
        <v>2</v>
      </c>
      <c r="H34" s="3">
        <v>400.54899999999998</v>
      </c>
      <c r="I34" s="3">
        <v>90.25</v>
      </c>
      <c r="J34" s="3">
        <v>-86.87</v>
      </c>
      <c r="K34" s="3">
        <v>6.0610000000000001E-6</v>
      </c>
      <c r="L34" s="3">
        <v>0.1973</v>
      </c>
    </row>
    <row r="35" spans="1:12" x14ac:dyDescent="0.25">
      <c r="A35">
        <v>70000</v>
      </c>
      <c r="B35">
        <v>-24.33</v>
      </c>
      <c r="C35">
        <v>-30.4</v>
      </c>
      <c r="D35">
        <v>60.5</v>
      </c>
      <c r="E35">
        <v>66.569999999999993</v>
      </c>
      <c r="G35" s="2">
        <v>2</v>
      </c>
      <c r="H35" s="3">
        <v>446.32600000000002</v>
      </c>
      <c r="I35" s="3">
        <v>89.93</v>
      </c>
      <c r="J35" s="3">
        <v>-87.42</v>
      </c>
      <c r="K35" s="3">
        <v>6.2829999999999998E-6</v>
      </c>
      <c r="L35" s="3">
        <v>0.19719999999999999</v>
      </c>
    </row>
    <row r="36" spans="1:12" x14ac:dyDescent="0.25">
      <c r="A36">
        <v>80000</v>
      </c>
      <c r="B36">
        <v>-24.68</v>
      </c>
      <c r="C36">
        <v>-30.35</v>
      </c>
      <c r="D36">
        <v>60.5</v>
      </c>
      <c r="E36">
        <v>66.17</v>
      </c>
      <c r="G36" s="2">
        <v>2</v>
      </c>
      <c r="H36" s="3">
        <v>503.548</v>
      </c>
      <c r="I36" s="3">
        <v>88.92</v>
      </c>
      <c r="J36" s="3">
        <v>-87.53</v>
      </c>
      <c r="K36" s="3">
        <v>7.058E-6</v>
      </c>
      <c r="L36" s="3">
        <v>0.19700000000000001</v>
      </c>
    </row>
    <row r="37" spans="1:12" x14ac:dyDescent="0.25">
      <c r="A37">
        <v>90000</v>
      </c>
      <c r="B37">
        <v>-24.45</v>
      </c>
      <c r="C37">
        <v>-31.46</v>
      </c>
      <c r="D37">
        <v>60.49</v>
      </c>
      <c r="E37">
        <v>67.5</v>
      </c>
      <c r="G37" s="2">
        <v>2</v>
      </c>
      <c r="H37" s="3">
        <v>560.76900000000001</v>
      </c>
      <c r="I37" s="3">
        <v>88.13</v>
      </c>
      <c r="J37" s="3">
        <v>-85.22</v>
      </c>
      <c r="K37" s="3">
        <v>7.7170000000000008E-6</v>
      </c>
      <c r="L37" s="3">
        <v>0.19689999999999999</v>
      </c>
    </row>
    <row r="38" spans="1:12" x14ac:dyDescent="0.25">
      <c r="A38">
        <v>100000</v>
      </c>
      <c r="B38">
        <v>-24.41</v>
      </c>
      <c r="C38">
        <v>-32.51</v>
      </c>
      <c r="D38">
        <v>60.5</v>
      </c>
      <c r="E38">
        <v>68.59</v>
      </c>
      <c r="G38" s="2">
        <v>2</v>
      </c>
      <c r="H38" s="3">
        <v>629.43499999999995</v>
      </c>
      <c r="I38" s="3">
        <v>87.02</v>
      </c>
      <c r="J38" s="3">
        <v>-86.18</v>
      </c>
      <c r="K38" s="3">
        <v>8.7660000000000004E-6</v>
      </c>
      <c r="L38" s="3">
        <v>0.1966</v>
      </c>
    </row>
    <row r="39" spans="1:12" x14ac:dyDescent="0.25">
      <c r="A39">
        <v>200000</v>
      </c>
      <c r="B39">
        <v>-24.89</v>
      </c>
      <c r="C39">
        <v>-40.369999999999997</v>
      </c>
      <c r="D39">
        <v>60.52</v>
      </c>
      <c r="E39">
        <v>76.010000000000005</v>
      </c>
      <c r="G39" s="2">
        <v>2</v>
      </c>
      <c r="H39" s="3">
        <v>709.54499999999996</v>
      </c>
      <c r="I39" s="3">
        <v>86.22</v>
      </c>
      <c r="J39" s="3">
        <v>-83.97</v>
      </c>
      <c r="K39" s="3">
        <v>9.5899999999999997E-6</v>
      </c>
      <c r="L39" s="3">
        <v>0.1963</v>
      </c>
    </row>
    <row r="40" spans="1:12" x14ac:dyDescent="0.25">
      <c r="A40">
        <v>300000</v>
      </c>
      <c r="B40">
        <v>-24.96</v>
      </c>
      <c r="C40">
        <v>-33.21</v>
      </c>
      <c r="D40">
        <v>60.44</v>
      </c>
      <c r="E40">
        <v>68.69</v>
      </c>
      <c r="G40" s="2">
        <v>2</v>
      </c>
      <c r="H40" s="3">
        <v>789.654</v>
      </c>
      <c r="I40" s="3">
        <v>85.11</v>
      </c>
      <c r="J40" s="3">
        <v>-84.3</v>
      </c>
      <c r="K40" s="3">
        <v>1.0879999999999999E-5</v>
      </c>
      <c r="L40" s="3">
        <v>0.19589999999999999</v>
      </c>
    </row>
    <row r="41" spans="1:12" x14ac:dyDescent="0.25">
      <c r="A41">
        <v>400000</v>
      </c>
      <c r="B41">
        <v>-25.34</v>
      </c>
      <c r="C41">
        <v>-25.85</v>
      </c>
      <c r="D41">
        <v>60.35</v>
      </c>
      <c r="E41">
        <v>60.85</v>
      </c>
      <c r="G41" s="2">
        <v>2</v>
      </c>
      <c r="H41" s="3">
        <v>892.65300000000002</v>
      </c>
      <c r="I41" s="3">
        <v>84.39</v>
      </c>
      <c r="J41" s="3">
        <v>-84.63</v>
      </c>
      <c r="K41" s="3">
        <v>1.0890000000000001E-5</v>
      </c>
      <c r="L41" s="3">
        <v>0.18060000000000001</v>
      </c>
    </row>
    <row r="42" spans="1:12" x14ac:dyDescent="0.25">
      <c r="A42">
        <v>500000</v>
      </c>
      <c r="B42">
        <v>-25.76</v>
      </c>
      <c r="C42">
        <v>-22.98</v>
      </c>
      <c r="D42">
        <v>60.17</v>
      </c>
      <c r="E42">
        <v>57.39</v>
      </c>
      <c r="G42" s="2">
        <v>2</v>
      </c>
      <c r="H42" s="3">
        <v>995.65099999999995</v>
      </c>
      <c r="I42" s="3">
        <v>83.3</v>
      </c>
      <c r="J42" s="3">
        <v>-83.52</v>
      </c>
      <c r="K42" s="3">
        <v>1.2320000000000001E-5</v>
      </c>
      <c r="L42" s="3">
        <v>0.1802</v>
      </c>
    </row>
    <row r="43" spans="1:12" x14ac:dyDescent="0.25">
      <c r="A43">
        <v>600000</v>
      </c>
      <c r="B43">
        <v>-26.68</v>
      </c>
      <c r="C43">
        <v>-21.41</v>
      </c>
      <c r="D43">
        <v>59.72</v>
      </c>
      <c r="E43">
        <v>54.46</v>
      </c>
      <c r="G43" s="2">
        <v>2</v>
      </c>
      <c r="H43" s="3">
        <v>1121.54</v>
      </c>
      <c r="I43" s="3">
        <v>82.37</v>
      </c>
      <c r="J43" s="3">
        <v>-82.42</v>
      </c>
      <c r="K43" s="3">
        <v>1.49E-5</v>
      </c>
      <c r="L43" s="3">
        <v>0.19570000000000001</v>
      </c>
    </row>
    <row r="44" spans="1:12" x14ac:dyDescent="0.25">
      <c r="A44">
        <v>700000</v>
      </c>
      <c r="B44">
        <v>-28.04</v>
      </c>
      <c r="C44">
        <v>-18.850000000000001</v>
      </c>
      <c r="D44">
        <v>58.7</v>
      </c>
      <c r="E44">
        <v>49.51</v>
      </c>
      <c r="G44" s="2">
        <v>2</v>
      </c>
      <c r="H44" s="3">
        <v>1258.8699999999999</v>
      </c>
      <c r="I44" s="3">
        <v>81.459999999999994</v>
      </c>
      <c r="J44" s="3">
        <v>-81.12</v>
      </c>
      <c r="K44" s="3">
        <v>1.5279999999999999E-5</v>
      </c>
      <c r="L44" s="3">
        <v>0.1807</v>
      </c>
    </row>
    <row r="45" spans="1:12" x14ac:dyDescent="0.25">
      <c r="A45">
        <v>800000</v>
      </c>
      <c r="B45">
        <v>-29.39</v>
      </c>
      <c r="C45">
        <v>-16.5</v>
      </c>
      <c r="D45">
        <v>56.89</v>
      </c>
      <c r="E45">
        <v>44</v>
      </c>
      <c r="G45" s="2">
        <v>2</v>
      </c>
      <c r="H45" s="3">
        <v>1407.64</v>
      </c>
      <c r="I45" s="3">
        <v>80.45</v>
      </c>
      <c r="J45" s="3">
        <v>-80.05</v>
      </c>
      <c r="K45" s="3">
        <v>1.8649999999999999E-5</v>
      </c>
      <c r="L45" s="3">
        <v>0.19639999999999999</v>
      </c>
    </row>
    <row r="46" spans="1:12" x14ac:dyDescent="0.25">
      <c r="A46">
        <v>900000</v>
      </c>
      <c r="B46">
        <v>-30.54</v>
      </c>
      <c r="C46">
        <v>-17</v>
      </c>
      <c r="D46">
        <v>54.3</v>
      </c>
      <c r="E46">
        <v>40.770000000000003</v>
      </c>
      <c r="G46" s="2">
        <v>2</v>
      </c>
      <c r="H46" s="3">
        <v>1579.31</v>
      </c>
      <c r="I46" s="3">
        <v>79.400000000000006</v>
      </c>
      <c r="J46" s="3">
        <v>-79.03</v>
      </c>
      <c r="K46" s="3">
        <v>2.0999999999999999E-5</v>
      </c>
      <c r="L46" s="3">
        <v>0.19589999999999999</v>
      </c>
    </row>
    <row r="47" spans="1:12" x14ac:dyDescent="0.25">
      <c r="A47">
        <v>1000000</v>
      </c>
      <c r="B47">
        <v>-31.72</v>
      </c>
      <c r="C47">
        <v>-19.52</v>
      </c>
      <c r="D47">
        <v>51.4</v>
      </c>
      <c r="E47">
        <v>39.19</v>
      </c>
      <c r="G47" s="2">
        <v>2</v>
      </c>
      <c r="H47" s="3">
        <v>1773.86</v>
      </c>
      <c r="I47" s="3">
        <v>78.459999999999994</v>
      </c>
      <c r="J47" s="3">
        <v>-77.8</v>
      </c>
      <c r="K47" s="3">
        <v>2.332E-5</v>
      </c>
      <c r="L47" s="3">
        <v>0.19539999999999999</v>
      </c>
    </row>
    <row r="48" spans="1:12" x14ac:dyDescent="0.25">
      <c r="G48" s="2">
        <v>2</v>
      </c>
      <c r="H48" s="3">
        <v>1991.3</v>
      </c>
      <c r="I48" s="3">
        <v>77.56</v>
      </c>
      <c r="J48" s="3">
        <v>-76.23</v>
      </c>
      <c r="K48" s="3">
        <v>2.385E-5</v>
      </c>
      <c r="L48" s="3">
        <v>0.18010000000000001</v>
      </c>
    </row>
    <row r="49" spans="7:12" x14ac:dyDescent="0.25">
      <c r="G49" s="2">
        <v>2</v>
      </c>
      <c r="H49" s="3">
        <v>2243.08</v>
      </c>
      <c r="I49" s="3">
        <v>76.56</v>
      </c>
      <c r="J49" s="3">
        <v>-74.98</v>
      </c>
      <c r="K49" s="3">
        <v>2.9070000000000001E-5</v>
      </c>
      <c r="L49" s="3">
        <v>0.19550000000000001</v>
      </c>
    </row>
    <row r="50" spans="7:12" x14ac:dyDescent="0.25">
      <c r="G50" s="2">
        <v>2</v>
      </c>
      <c r="H50" s="3">
        <v>2506.29</v>
      </c>
      <c r="I50" s="3">
        <v>75.62</v>
      </c>
      <c r="J50" s="3">
        <v>-73.23</v>
      </c>
      <c r="K50" s="3">
        <v>2.953E-5</v>
      </c>
      <c r="L50" s="3">
        <v>0.1782</v>
      </c>
    </row>
    <row r="51" spans="7:12" x14ac:dyDescent="0.25">
      <c r="G51" s="2">
        <v>2</v>
      </c>
      <c r="H51" s="3">
        <v>2815.29</v>
      </c>
      <c r="I51" s="3">
        <v>74.69</v>
      </c>
      <c r="J51" s="3">
        <v>-70.88</v>
      </c>
      <c r="K51" s="3">
        <v>3.612E-5</v>
      </c>
      <c r="L51" s="3">
        <v>0.1961</v>
      </c>
    </row>
    <row r="52" spans="7:12" x14ac:dyDescent="0.25">
      <c r="G52" s="2">
        <v>2</v>
      </c>
      <c r="H52" s="3">
        <v>3204.39</v>
      </c>
      <c r="I52" s="3">
        <v>73.69</v>
      </c>
      <c r="J52" s="3">
        <v>-68.75</v>
      </c>
      <c r="K52" s="3">
        <v>4.0429999999999997E-5</v>
      </c>
      <c r="L52" s="3">
        <v>0.19539999999999999</v>
      </c>
    </row>
    <row r="53" spans="7:12" x14ac:dyDescent="0.25">
      <c r="G53" s="2">
        <v>2</v>
      </c>
      <c r="H53" s="3">
        <v>3547.72</v>
      </c>
      <c r="I53" s="3">
        <v>72.88</v>
      </c>
      <c r="J53" s="3">
        <v>-66.38</v>
      </c>
      <c r="K53" s="3">
        <v>4.4230000000000002E-5</v>
      </c>
      <c r="L53" s="3">
        <v>0.19489999999999999</v>
      </c>
    </row>
    <row r="54" spans="7:12" x14ac:dyDescent="0.25">
      <c r="G54" s="2">
        <v>2</v>
      </c>
      <c r="H54" s="3">
        <v>4005.49</v>
      </c>
      <c r="I54" s="3">
        <v>71.989999999999995</v>
      </c>
      <c r="J54" s="3">
        <v>-63.76</v>
      </c>
      <c r="K54" s="3">
        <v>4.8819999999999997E-5</v>
      </c>
      <c r="L54" s="3">
        <v>0.19409999999999999</v>
      </c>
    </row>
    <row r="55" spans="7:12" x14ac:dyDescent="0.25">
      <c r="G55" s="2">
        <v>2</v>
      </c>
      <c r="H55" s="3">
        <v>4463.26</v>
      </c>
      <c r="I55" s="3">
        <v>71.25</v>
      </c>
      <c r="J55" s="3">
        <v>-61.01</v>
      </c>
      <c r="K55" s="3">
        <v>4.8380000000000001E-5</v>
      </c>
      <c r="L55" s="3">
        <v>0.1767</v>
      </c>
    </row>
    <row r="56" spans="7:12" x14ac:dyDescent="0.25">
      <c r="G56" s="2">
        <v>2</v>
      </c>
      <c r="H56" s="3">
        <v>5035.4799999999996</v>
      </c>
      <c r="I56" s="3">
        <v>70.39</v>
      </c>
      <c r="J56" s="3">
        <v>-57.94</v>
      </c>
      <c r="K56" s="3">
        <v>5.9190000000000001E-5</v>
      </c>
      <c r="L56" s="3">
        <v>0.19570000000000001</v>
      </c>
    </row>
    <row r="57" spans="7:12" x14ac:dyDescent="0.25">
      <c r="G57" s="2">
        <v>2</v>
      </c>
      <c r="H57" s="3">
        <v>5607.69</v>
      </c>
      <c r="I57" s="3">
        <v>69.680000000000007</v>
      </c>
      <c r="J57" s="3">
        <v>-54.95</v>
      </c>
      <c r="K57" s="3">
        <v>5.8529999999999997E-5</v>
      </c>
      <c r="L57" s="3">
        <v>0.1784</v>
      </c>
    </row>
    <row r="58" spans="7:12" x14ac:dyDescent="0.25">
      <c r="G58" s="2">
        <v>2</v>
      </c>
      <c r="H58" s="3">
        <v>6294.35</v>
      </c>
      <c r="I58" s="3">
        <v>69</v>
      </c>
      <c r="J58" s="3">
        <v>-51.19</v>
      </c>
      <c r="K58" s="3">
        <v>6.3990000000000002E-5</v>
      </c>
      <c r="L58" s="3">
        <v>0.18029999999999999</v>
      </c>
    </row>
    <row r="59" spans="7:12" x14ac:dyDescent="0.25">
      <c r="G59" s="2">
        <v>2</v>
      </c>
      <c r="H59" s="3">
        <v>7095.45</v>
      </c>
      <c r="I59" s="3">
        <v>68.33</v>
      </c>
      <c r="J59" s="3">
        <v>-47.68</v>
      </c>
      <c r="K59" s="3">
        <v>6.9079999999999996E-5</v>
      </c>
      <c r="L59" s="3">
        <v>0.18029999999999999</v>
      </c>
    </row>
    <row r="60" spans="7:12" x14ac:dyDescent="0.25">
      <c r="G60" s="2">
        <v>2</v>
      </c>
      <c r="H60" s="3">
        <v>7896.54</v>
      </c>
      <c r="I60" s="3">
        <v>67.7</v>
      </c>
      <c r="J60" s="3">
        <v>-43.59</v>
      </c>
      <c r="K60" s="3">
        <v>8.0389999999999994E-5</v>
      </c>
      <c r="L60" s="3">
        <v>0.19500000000000001</v>
      </c>
    </row>
    <row r="61" spans="7:12" x14ac:dyDescent="0.25">
      <c r="G61" s="2">
        <v>2</v>
      </c>
      <c r="H61" s="3">
        <v>8926.5300000000007</v>
      </c>
      <c r="I61" s="3">
        <v>67.14</v>
      </c>
      <c r="J61" s="3">
        <v>-39.76</v>
      </c>
      <c r="K61" s="3">
        <v>7.8860000000000001E-5</v>
      </c>
      <c r="L61" s="3">
        <v>0.17949999999999999</v>
      </c>
    </row>
    <row r="62" spans="7:12" x14ac:dyDescent="0.25">
      <c r="G62" s="2">
        <v>2</v>
      </c>
      <c r="H62" s="3">
        <v>9956.51</v>
      </c>
      <c r="I62" s="3">
        <v>66.7</v>
      </c>
      <c r="J62" s="3">
        <v>-35.57</v>
      </c>
      <c r="K62" s="3">
        <v>8.2620000000000005E-5</v>
      </c>
      <c r="L62" s="3">
        <v>0.1787</v>
      </c>
    </row>
    <row r="63" spans="7:12" x14ac:dyDescent="0.25">
      <c r="G63" s="2">
        <v>2</v>
      </c>
      <c r="H63" s="3">
        <v>11215.4</v>
      </c>
      <c r="I63" s="3">
        <v>66.209999999999994</v>
      </c>
      <c r="J63" s="3">
        <v>-31.65</v>
      </c>
      <c r="K63" s="3">
        <v>9.4690000000000003E-5</v>
      </c>
      <c r="L63" s="3">
        <v>0.19359999999999999</v>
      </c>
    </row>
    <row r="64" spans="7:12" x14ac:dyDescent="0.25">
      <c r="G64" s="2">
        <v>2</v>
      </c>
      <c r="H64" s="3">
        <v>12588.7</v>
      </c>
      <c r="I64" s="3">
        <v>65.86</v>
      </c>
      <c r="J64" s="3">
        <v>-26.94</v>
      </c>
      <c r="K64" s="3">
        <v>9.0950000000000002E-5</v>
      </c>
      <c r="L64" s="3">
        <v>0.17849999999999999</v>
      </c>
    </row>
    <row r="65" spans="7:12" x14ac:dyDescent="0.25">
      <c r="G65" s="2">
        <v>2</v>
      </c>
      <c r="H65" s="3">
        <v>14076.4</v>
      </c>
      <c r="I65" s="3">
        <v>65.56</v>
      </c>
      <c r="J65" s="3">
        <v>-23.12</v>
      </c>
      <c r="K65" s="3">
        <v>1.022E-4</v>
      </c>
      <c r="L65" s="3">
        <v>0.19389999999999999</v>
      </c>
    </row>
    <row r="66" spans="7:12" x14ac:dyDescent="0.25">
      <c r="G66" s="2">
        <v>2</v>
      </c>
      <c r="H66" s="3">
        <v>15793.1</v>
      </c>
      <c r="I66" s="3">
        <v>65.28</v>
      </c>
      <c r="J66" s="3">
        <v>-18.690000000000001</v>
      </c>
      <c r="K66" s="3">
        <v>1.054E-4</v>
      </c>
      <c r="L66" s="3">
        <v>0.19359999999999999</v>
      </c>
    </row>
    <row r="67" spans="7:12" x14ac:dyDescent="0.25">
      <c r="G67" s="2">
        <v>2</v>
      </c>
      <c r="H67" s="3">
        <v>17738.599999999999</v>
      </c>
      <c r="I67" s="3">
        <v>65.08</v>
      </c>
      <c r="J67" s="3">
        <v>-14.32</v>
      </c>
      <c r="K67" s="3">
        <v>1.076E-4</v>
      </c>
      <c r="L67" s="3">
        <v>0.19309999999999999</v>
      </c>
    </row>
    <row r="68" spans="7:12" x14ac:dyDescent="0.25">
      <c r="G68" s="2">
        <v>2</v>
      </c>
      <c r="H68" s="3">
        <v>19913</v>
      </c>
      <c r="I68" s="3">
        <v>64.959999999999994</v>
      </c>
      <c r="J68" s="3">
        <v>-10.41</v>
      </c>
      <c r="K68" s="3">
        <v>1.005E-4</v>
      </c>
      <c r="L68" s="3">
        <v>0.1779</v>
      </c>
    </row>
    <row r="69" spans="7:12" x14ac:dyDescent="0.25">
      <c r="G69" s="2">
        <v>2</v>
      </c>
      <c r="H69" s="3">
        <v>22430.799999999999</v>
      </c>
      <c r="I69" s="3">
        <v>64.819999999999993</v>
      </c>
      <c r="J69" s="3">
        <v>-5.5209999999999999</v>
      </c>
      <c r="K69" s="3">
        <v>1.108E-4</v>
      </c>
      <c r="L69" s="3">
        <v>0.19289999999999999</v>
      </c>
    </row>
    <row r="70" spans="7:12" x14ac:dyDescent="0.25">
      <c r="G70" s="2">
        <v>2</v>
      </c>
      <c r="H70" s="3">
        <v>25062.9</v>
      </c>
      <c r="I70" s="3">
        <v>64.69</v>
      </c>
      <c r="J70" s="3">
        <v>-1.373</v>
      </c>
      <c r="K70" s="3">
        <v>1.022E-4</v>
      </c>
      <c r="L70" s="3">
        <v>0.17530000000000001</v>
      </c>
    </row>
    <row r="71" spans="7:12" x14ac:dyDescent="0.25">
      <c r="G71" s="2">
        <v>2</v>
      </c>
      <c r="H71" s="3">
        <v>28152.9</v>
      </c>
      <c r="I71" s="3">
        <v>64.66</v>
      </c>
      <c r="J71" s="3">
        <v>2.7839999999999998</v>
      </c>
      <c r="K71" s="3">
        <v>1.1239999999999999E-4</v>
      </c>
      <c r="L71" s="3">
        <v>0.19220000000000001</v>
      </c>
    </row>
    <row r="72" spans="7:12" x14ac:dyDescent="0.25">
      <c r="G72" s="2">
        <v>2</v>
      </c>
      <c r="H72" s="3">
        <v>32043.9</v>
      </c>
      <c r="I72" s="3">
        <v>64.66</v>
      </c>
      <c r="J72" s="3">
        <v>7.9189999999999996</v>
      </c>
      <c r="K72" s="3">
        <v>1.1120000000000001E-4</v>
      </c>
      <c r="L72" s="3">
        <v>0.19</v>
      </c>
    </row>
    <row r="73" spans="7:12" x14ac:dyDescent="0.25">
      <c r="G73" s="2">
        <v>2</v>
      </c>
      <c r="H73" s="3">
        <v>35477.199999999997</v>
      </c>
      <c r="I73" s="3">
        <v>64.66</v>
      </c>
      <c r="J73" s="3">
        <v>12.29</v>
      </c>
      <c r="K73" s="3">
        <v>1.103E-4</v>
      </c>
      <c r="L73" s="3">
        <v>0.1885</v>
      </c>
    </row>
    <row r="74" spans="7:12" x14ac:dyDescent="0.25">
      <c r="G74" s="2">
        <v>2</v>
      </c>
      <c r="H74" s="3">
        <v>40054.9</v>
      </c>
      <c r="I74" s="3">
        <v>64.67</v>
      </c>
      <c r="J74" s="3">
        <v>17.84</v>
      </c>
      <c r="K74" s="3">
        <v>1.089E-4</v>
      </c>
      <c r="L74" s="3">
        <v>0.1865</v>
      </c>
    </row>
    <row r="75" spans="7:12" x14ac:dyDescent="0.25">
      <c r="G75" s="2">
        <v>2</v>
      </c>
      <c r="H75" s="3">
        <v>44632.6</v>
      </c>
      <c r="I75" s="3">
        <v>64.86</v>
      </c>
      <c r="J75" s="3">
        <v>22.57</v>
      </c>
      <c r="K75" s="3">
        <v>9.6409999999999993E-5</v>
      </c>
      <c r="L75" s="3">
        <v>0.16869999999999999</v>
      </c>
    </row>
    <row r="76" spans="7:12" x14ac:dyDescent="0.25">
      <c r="G76" s="2">
        <v>2</v>
      </c>
      <c r="H76" s="3">
        <v>50354.8</v>
      </c>
      <c r="I76" s="3">
        <v>65.03</v>
      </c>
      <c r="J76" s="3">
        <v>28.33</v>
      </c>
      <c r="K76" s="3">
        <v>1.039E-4</v>
      </c>
      <c r="L76" s="3">
        <v>0.1855</v>
      </c>
    </row>
    <row r="77" spans="7:12" x14ac:dyDescent="0.25">
      <c r="G77" s="2">
        <v>2</v>
      </c>
      <c r="H77" s="3">
        <v>56076.9</v>
      </c>
      <c r="I77" s="3">
        <v>65.17</v>
      </c>
      <c r="J77" s="3">
        <v>34.15</v>
      </c>
      <c r="K77" s="3">
        <v>9.2590000000000006E-5</v>
      </c>
      <c r="L77" s="3">
        <v>0.16789999999999999</v>
      </c>
    </row>
    <row r="78" spans="7:12" x14ac:dyDescent="0.25">
      <c r="G78" s="2">
        <v>2</v>
      </c>
      <c r="H78" s="3">
        <v>62943.5</v>
      </c>
      <c r="I78" s="3">
        <v>65.56</v>
      </c>
      <c r="J78" s="3">
        <v>40.729999999999997</v>
      </c>
      <c r="K78" s="3">
        <v>8.8560000000000006E-5</v>
      </c>
      <c r="L78" s="3">
        <v>0.16800000000000001</v>
      </c>
    </row>
    <row r="79" spans="7:12" x14ac:dyDescent="0.25">
      <c r="G79" s="2">
        <v>2</v>
      </c>
      <c r="H79" s="3">
        <v>70954.5</v>
      </c>
      <c r="I79" s="3">
        <v>66.02</v>
      </c>
      <c r="J79" s="3">
        <v>47.1</v>
      </c>
      <c r="K79" s="3">
        <v>8.3239999999999996E-5</v>
      </c>
      <c r="L79" s="3">
        <v>0.16650000000000001</v>
      </c>
    </row>
    <row r="80" spans="7:12" x14ac:dyDescent="0.25">
      <c r="G80" s="2">
        <v>2</v>
      </c>
      <c r="H80" s="3">
        <v>78965.399999999994</v>
      </c>
      <c r="I80" s="3">
        <v>66.53</v>
      </c>
      <c r="J80" s="3">
        <v>54.25</v>
      </c>
      <c r="K80" s="3">
        <v>8.4330000000000001E-5</v>
      </c>
      <c r="L80" s="3">
        <v>0.17879999999999999</v>
      </c>
    </row>
    <row r="81" spans="7:12" x14ac:dyDescent="0.25">
      <c r="G81" s="2">
        <v>2</v>
      </c>
      <c r="H81" s="3">
        <v>89265.3</v>
      </c>
      <c r="I81" s="3">
        <v>67.239999999999995</v>
      </c>
      <c r="J81" s="3">
        <v>62.58</v>
      </c>
      <c r="K81" s="3">
        <v>7.0950000000000003E-5</v>
      </c>
      <c r="L81" s="3">
        <v>0.1633</v>
      </c>
    </row>
    <row r="82" spans="7:12" x14ac:dyDescent="0.25">
      <c r="G82" s="2">
        <v>2</v>
      </c>
      <c r="H82" s="3">
        <v>99565.1</v>
      </c>
      <c r="I82" s="3">
        <v>68.06</v>
      </c>
      <c r="J82" s="3">
        <v>70.209999999999994</v>
      </c>
      <c r="K82" s="3">
        <v>6.3810000000000001E-5</v>
      </c>
      <c r="L82" s="3">
        <v>0.16139999999999999</v>
      </c>
    </row>
    <row r="83" spans="7:12" x14ac:dyDescent="0.25">
      <c r="G83" s="2">
        <v>2</v>
      </c>
      <c r="H83" s="3">
        <v>112154</v>
      </c>
      <c r="I83" s="3">
        <v>69.06</v>
      </c>
      <c r="J83" s="3">
        <v>79.790000000000006</v>
      </c>
      <c r="K83" s="3">
        <v>6.1279999999999996E-5</v>
      </c>
      <c r="L83" s="3">
        <v>0.1739</v>
      </c>
    </row>
    <row r="84" spans="7:12" x14ac:dyDescent="0.25">
      <c r="G84" s="2">
        <v>2</v>
      </c>
      <c r="H84" s="3">
        <v>125887</v>
      </c>
      <c r="I84" s="3">
        <v>70.260000000000005</v>
      </c>
      <c r="J84" s="3">
        <v>90.21</v>
      </c>
      <c r="K84" s="3">
        <v>4.8989999999999997E-5</v>
      </c>
      <c r="L84" s="3">
        <v>0.15959999999999999</v>
      </c>
    </row>
    <row r="85" spans="7:12" x14ac:dyDescent="0.25">
      <c r="G85" s="2">
        <v>2</v>
      </c>
      <c r="H85" s="3">
        <v>140764</v>
      </c>
      <c r="I85" s="3">
        <v>71.36</v>
      </c>
      <c r="J85" s="3">
        <v>102.7</v>
      </c>
      <c r="K85" s="3">
        <v>4.6650000000000002E-5</v>
      </c>
      <c r="L85" s="3">
        <v>0.17249999999999999</v>
      </c>
    </row>
    <row r="86" spans="7:12" x14ac:dyDescent="0.25">
      <c r="G86" s="2">
        <v>2</v>
      </c>
      <c r="H86" s="3">
        <v>157931</v>
      </c>
      <c r="I86" s="3">
        <v>72.599999999999994</v>
      </c>
      <c r="J86" s="3">
        <v>117.6</v>
      </c>
      <c r="K86" s="3">
        <v>4.0280000000000001E-5</v>
      </c>
      <c r="L86" s="3">
        <v>0.17180000000000001</v>
      </c>
    </row>
    <row r="87" spans="7:12" x14ac:dyDescent="0.25">
      <c r="G87" s="2">
        <v>2</v>
      </c>
      <c r="H87" s="3">
        <v>177386</v>
      </c>
      <c r="I87" s="3">
        <v>73.900000000000006</v>
      </c>
      <c r="J87" s="3">
        <v>135.30000000000001</v>
      </c>
      <c r="K87" s="3">
        <v>3.455E-5</v>
      </c>
      <c r="L87" s="3">
        <v>0.1711</v>
      </c>
    </row>
    <row r="88" spans="7:12" x14ac:dyDescent="0.25">
      <c r="G88" s="2">
        <v>2</v>
      </c>
      <c r="H88" s="3">
        <v>199130</v>
      </c>
      <c r="I88" s="3">
        <v>74.69</v>
      </c>
      <c r="J88" s="3">
        <v>155.69999999999999</v>
      </c>
      <c r="K88" s="3">
        <v>2.9030000000000002E-5</v>
      </c>
      <c r="L88" s="3">
        <v>0.1575</v>
      </c>
    </row>
    <row r="89" spans="7:12" x14ac:dyDescent="0.25">
      <c r="G89" s="2">
        <v>2</v>
      </c>
      <c r="H89" s="3">
        <v>224308</v>
      </c>
      <c r="I89" s="3">
        <v>73.849999999999994</v>
      </c>
      <c r="J89" s="3">
        <v>178.3</v>
      </c>
      <c r="K89" s="3">
        <v>3.4659999999999997E-5</v>
      </c>
      <c r="L89" s="3">
        <v>0.17080000000000001</v>
      </c>
    </row>
    <row r="90" spans="7:12" x14ac:dyDescent="0.25">
      <c r="G90" s="2">
        <v>2</v>
      </c>
      <c r="H90" s="3">
        <v>250629</v>
      </c>
      <c r="I90" s="3">
        <v>72.290000000000006</v>
      </c>
      <c r="J90" s="3">
        <v>-163.69999999999999</v>
      </c>
      <c r="K90" s="3">
        <v>3.769E-5</v>
      </c>
      <c r="L90" s="3">
        <v>0.1552</v>
      </c>
    </row>
    <row r="91" spans="7:12" x14ac:dyDescent="0.25">
      <c r="G91" s="2">
        <v>2</v>
      </c>
      <c r="H91" s="3">
        <v>281529</v>
      </c>
      <c r="I91" s="3">
        <v>69.97</v>
      </c>
      <c r="J91" s="3">
        <v>-148.1</v>
      </c>
      <c r="K91" s="3">
        <v>5.3879999999999999E-5</v>
      </c>
      <c r="L91" s="3">
        <v>0.16980000000000001</v>
      </c>
    </row>
    <row r="92" spans="7:12" x14ac:dyDescent="0.25">
      <c r="G92" s="2">
        <v>2</v>
      </c>
      <c r="H92" s="3">
        <v>315862</v>
      </c>
      <c r="I92" s="3">
        <v>67.05</v>
      </c>
      <c r="J92" s="3">
        <v>-133.80000000000001</v>
      </c>
      <c r="K92" s="3">
        <v>7.4460000000000002E-5</v>
      </c>
      <c r="L92" s="3">
        <v>0.16769999999999999</v>
      </c>
    </row>
    <row r="93" spans="7:12" x14ac:dyDescent="0.25">
      <c r="G93" s="2">
        <v>2</v>
      </c>
      <c r="H93" s="3">
        <v>354772</v>
      </c>
      <c r="I93" s="3">
        <v>63.94</v>
      </c>
      <c r="J93" s="3">
        <v>-119.8</v>
      </c>
      <c r="K93" s="3">
        <v>1.043E-4</v>
      </c>
      <c r="L93" s="3">
        <v>0.16420000000000001</v>
      </c>
    </row>
    <row r="94" spans="7:12" x14ac:dyDescent="0.25">
      <c r="G94" s="2">
        <v>2</v>
      </c>
      <c r="H94" s="3">
        <v>398260</v>
      </c>
      <c r="I94" s="3">
        <v>61.03</v>
      </c>
      <c r="J94" s="3">
        <v>-101.7</v>
      </c>
      <c r="K94" s="3">
        <v>1.416E-4</v>
      </c>
      <c r="L94" s="3">
        <v>0.1593</v>
      </c>
    </row>
    <row r="95" spans="7:12" x14ac:dyDescent="0.25">
      <c r="G95" s="2">
        <v>2</v>
      </c>
      <c r="H95" s="3">
        <v>446326</v>
      </c>
      <c r="I95" s="3">
        <v>58.8</v>
      </c>
      <c r="J95" s="3">
        <v>-83.12</v>
      </c>
      <c r="K95" s="3">
        <v>1.6090000000000001E-4</v>
      </c>
      <c r="L95" s="3">
        <v>0.1401</v>
      </c>
    </row>
    <row r="96" spans="7:12" x14ac:dyDescent="0.25">
      <c r="G96" s="2">
        <v>2</v>
      </c>
      <c r="H96" s="3">
        <v>501259</v>
      </c>
      <c r="I96" s="3">
        <v>56.95</v>
      </c>
      <c r="J96" s="3">
        <v>-63.85</v>
      </c>
      <c r="K96" s="3">
        <v>1.907E-4</v>
      </c>
      <c r="L96" s="3">
        <v>0.1343</v>
      </c>
    </row>
    <row r="97" spans="7:12" x14ac:dyDescent="0.25">
      <c r="G97" s="2">
        <v>2</v>
      </c>
      <c r="H97" s="3">
        <v>561913</v>
      </c>
      <c r="I97" s="3">
        <v>55.1</v>
      </c>
      <c r="J97" s="3">
        <v>-46.85</v>
      </c>
      <c r="K97" s="3">
        <v>2.253E-4</v>
      </c>
      <c r="L97" s="3">
        <v>0.12809999999999999</v>
      </c>
    </row>
    <row r="98" spans="7:12" x14ac:dyDescent="0.25">
      <c r="G98" s="2">
        <v>2</v>
      </c>
      <c r="H98" s="3">
        <v>630579</v>
      </c>
      <c r="I98" s="3">
        <v>53.39</v>
      </c>
      <c r="J98" s="3">
        <v>-31.44</v>
      </c>
      <c r="K98" s="3">
        <v>2.4869999999999997E-4</v>
      </c>
      <c r="L98" s="3">
        <v>0.1162</v>
      </c>
    </row>
    <row r="99" spans="7:12" x14ac:dyDescent="0.25">
      <c r="G99" s="2">
        <v>2</v>
      </c>
      <c r="H99" s="3">
        <v>708400</v>
      </c>
      <c r="I99" s="3">
        <v>49.81</v>
      </c>
      <c r="J99" s="3">
        <v>-18.89</v>
      </c>
      <c r="K99" s="3">
        <v>3.548E-4</v>
      </c>
      <c r="L99" s="3">
        <v>0.10979999999999999</v>
      </c>
    </row>
    <row r="100" spans="7:12" x14ac:dyDescent="0.25">
      <c r="G100" s="2">
        <v>2</v>
      </c>
      <c r="H100" s="3">
        <v>794232</v>
      </c>
      <c r="I100" s="3">
        <v>44.27</v>
      </c>
      <c r="J100" s="3">
        <v>11.21</v>
      </c>
      <c r="K100" s="3">
        <v>6.1169999999999996E-4</v>
      </c>
      <c r="L100" s="3">
        <v>0.1</v>
      </c>
    </row>
    <row r="101" spans="7:12" x14ac:dyDescent="0.25">
      <c r="G101" s="2">
        <v>2</v>
      </c>
      <c r="H101" s="3">
        <v>891508</v>
      </c>
      <c r="I101" s="3">
        <v>41.1</v>
      </c>
      <c r="J101" s="3">
        <v>58.43</v>
      </c>
      <c r="K101" s="3">
        <v>7.6860000000000003E-4</v>
      </c>
      <c r="L101" s="3">
        <v>8.7179999999999994E-2</v>
      </c>
    </row>
    <row r="102" spans="7:12" x14ac:dyDescent="0.25">
      <c r="G102" s="2">
        <v>2</v>
      </c>
      <c r="H102" s="3">
        <v>1011670</v>
      </c>
      <c r="I102" s="3">
        <v>39.32</v>
      </c>
      <c r="J102" s="3">
        <v>97.09</v>
      </c>
      <c r="K102" s="3">
        <v>7.6979999999999995E-4</v>
      </c>
      <c r="L102" s="3">
        <v>7.1209999999999996E-2</v>
      </c>
    </row>
    <row r="103" spans="7:12" x14ac:dyDescent="0.25">
      <c r="G103" s="2"/>
      <c r="H103" s="2"/>
      <c r="I103" s="2"/>
      <c r="J103" s="2"/>
      <c r="K103" s="2"/>
      <c r="L103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15AF-D02A-483F-BE76-7603DAB64673}">
  <dimension ref="A1:E6"/>
  <sheetViews>
    <sheetView workbookViewId="0">
      <selection activeCell="D15" sqref="D15"/>
    </sheetView>
  </sheetViews>
  <sheetFormatPr defaultRowHeight="15" x14ac:dyDescent="0.25"/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3" spans="1:5" x14ac:dyDescent="0.25">
      <c r="A3">
        <v>50</v>
      </c>
      <c r="B3">
        <v>-23.83</v>
      </c>
      <c r="C3">
        <v>-61</v>
      </c>
      <c r="D3">
        <v>60.46</v>
      </c>
      <c r="E3">
        <f>D3-C3+B3</f>
        <v>97.63000000000001</v>
      </c>
    </row>
    <row r="4" spans="1:5" x14ac:dyDescent="0.25">
      <c r="A4">
        <v>100</v>
      </c>
      <c r="B4">
        <v>-23.83</v>
      </c>
      <c r="C4">
        <v>-61</v>
      </c>
      <c r="D4">
        <v>60.46</v>
      </c>
      <c r="E4">
        <f>D4-C4+B4</f>
        <v>97.63000000000001</v>
      </c>
    </row>
    <row r="5" spans="1:5" x14ac:dyDescent="0.25">
      <c r="A5">
        <v>1000</v>
      </c>
      <c r="B5">
        <v>-23.83</v>
      </c>
      <c r="C5">
        <v>-47</v>
      </c>
      <c r="D5">
        <v>60.46</v>
      </c>
      <c r="E5">
        <f>D5-C5+B5</f>
        <v>83.63000000000001</v>
      </c>
    </row>
    <row r="6" spans="1:5" x14ac:dyDescent="0.25">
      <c r="A6">
        <v>10000</v>
      </c>
      <c r="B6">
        <v>-23.83</v>
      </c>
      <c r="C6">
        <v>-30</v>
      </c>
      <c r="D6">
        <v>60.46</v>
      </c>
      <c r="E6">
        <f>D6-C6+B6</f>
        <v>66.63000000000001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PSRR_results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Reay, Robert</cp:lastModifiedBy>
  <dcterms:created xsi:type="dcterms:W3CDTF">2026-08-02T17:11:41Z</dcterms:created>
  <dcterms:modified xsi:type="dcterms:W3CDTF">2026-08-05T15:30:58Z</dcterms:modified>
</cp:coreProperties>
</file>